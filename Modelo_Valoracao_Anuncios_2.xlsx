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âmetros" sheetId="1" state="visible" r:id="rId3"/>
    <sheet name="Entrada e Cálculo" sheetId="2" state="visible" r:id="rId4"/>
    <sheet name="Resumo · Impacto" sheetId="3" state="visible" r:id="rId5"/>
  </sheets>
  <definedNames>
    <definedName function="false" hidden="true" localSheetId="1" name="_xlnm._FilterDatabase" vbProcedure="false">'Entrada e Cálculo'!$A$1:$Q$40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Converte área do banner (px²) em cm². 1 cm² ≈ 1428,84 px² a 96 DPI.</t>
        </r>
      </text>
    </comment>
    <comment ref="B6" authorId="0">
      <text>
        <r>
          <rPr>
            <sz val="10"/>
            <rFont val="Arial"/>
            <family val="2"/>
          </rPr>
          <t xml:space="preserve">Constante do modelo antigo (a confirmar com a equipe).</t>
        </r>
      </text>
    </comment>
    <comment ref="B8" authorId="0">
      <text>
        <r>
          <rPr>
            <sz val="10"/>
            <rFont val="Arial"/>
            <family val="2"/>
          </rPr>
          <t xml:space="preserve">Valor novo não pode superar este múltiplo do valor antigo.</t>
        </r>
      </text>
    </comment>
    <comment ref="B9" authorId="0">
      <text>
        <r>
          <rPr>
            <sz val="10"/>
            <rFont val="Arial"/>
            <family val="2"/>
          </rPr>
          <t xml:space="preserve">Valor novo não pode cair abaixo deste múltiplo do valor antigo.</t>
        </r>
      </text>
    </comment>
    <comment ref="B10" authorId="0">
      <text>
        <r>
          <rPr>
            <sz val="10"/>
            <rFont val="Arial"/>
            <family val="2"/>
          </rPr>
          <t xml:space="preserve">Acima deste valor o item é sinalizado como variação para cima.</t>
        </r>
      </text>
    </comment>
    <comment ref="B11" authorId="0">
      <text>
        <r>
          <rPr>
            <sz val="10"/>
            <rFont val="Arial"/>
            <family val="2"/>
          </rPr>
          <t xml:space="preserve">Abaixo deste valor o item é sinalizado como variação para baixo.</t>
        </r>
      </text>
    </comment>
  </commentList>
</comments>
</file>

<file path=xl/sharedStrings.xml><?xml version="1.0" encoding="utf-8"?>
<sst xmlns="http://schemas.openxmlformats.org/spreadsheetml/2006/main" count="251" uniqueCount="137">
  <si>
    <t xml:space="preserve">Modelo de Valoração de Anúncios Digitais — Parâmetros</t>
  </si>
  <si>
    <t xml:space="preserve">Estudo de viabilidade · migração modelo legado → modelo Jovedata + Similarweb</t>
  </si>
  <si>
    <t xml:space="preserve">CONSTANTES DE CONVERSÃO</t>
  </si>
  <si>
    <t xml:space="preserve">K_NOVO — pixels por cm² (≈96 DPI)</t>
  </si>
  <si>
    <t xml:space="preserve">px²/cm²</t>
  </si>
  <si>
    <t xml:space="preserve">K_ANTIGO — divisor legado</t>
  </si>
  <si>
    <t xml:space="preserve">constante</t>
  </si>
  <si>
    <t xml:space="preserve">TRAVAS / REGRAS DE TRANSIÇÃO</t>
  </si>
  <si>
    <t xml:space="preserve">Teto de disparo (cap máx. Novo/Antigo)</t>
  </si>
  <si>
    <t xml:space="preserve">x</t>
  </si>
  <si>
    <t xml:space="preserve">Piso de queda (cap mín. Novo/Antigo)</t>
  </si>
  <si>
    <t xml:space="preserve">Banda "estável" — limite superior</t>
  </si>
  <si>
    <t xml:space="preserve">Banda "estável" — limite inferior</t>
  </si>
  <si>
    <t xml:space="preserve">Portal</t>
  </si>
  <si>
    <t xml:space="preserve">URL</t>
  </si>
  <si>
    <t xml:space="preserve">Canal</t>
  </si>
  <si>
    <t xml:space="preserve">Anúncio</t>
  </si>
  <si>
    <t xml:space="preserve">Tipo Venda</t>
  </si>
  <si>
    <t xml:space="preserve">Alt (px)</t>
  </si>
  <si>
    <t xml:space="preserve">Lar (px)</t>
  </si>
  <si>
    <t xml:space="preserve">Preço Jovedata (R$)</t>
  </si>
  <si>
    <t xml:space="preserve">Preço Interno legado (R$)</t>
  </si>
  <si>
    <t xml:space="preserve">Área Capturada (cm²)</t>
  </si>
  <si>
    <t xml:space="preserve">Fator Similarweb</t>
  </si>
  <si>
    <t xml:space="preserve">Área banner (cm²)</t>
  </si>
  <si>
    <t xml:space="preserve">VALOR ANTIGO (R$)</t>
  </si>
  <si>
    <t xml:space="preserve">VALOR NOVO bruto (R$)</t>
  </si>
  <si>
    <t xml:space="preserve">Razão Novo/Antigo</t>
  </si>
  <si>
    <t xml:space="preserve">Status / Gargalo</t>
  </si>
  <si>
    <t xml:space="preserve">VALOR FINAL c/ trava (R$)</t>
  </si>
  <si>
    <t xml:space="preserve">GZH</t>
  </si>
  <si>
    <t xml:space="preserve">GAUCHAZH.CLICRBS.COM.BR/</t>
  </si>
  <si>
    <t xml:space="preserve">HOME PAGE</t>
  </si>
  <si>
    <t xml:space="preserve">PARALLAX</t>
  </si>
  <si>
    <t xml:space="preserve">CPM</t>
  </si>
  <si>
    <t xml:space="preserve">VALOR</t>
  </si>
  <si>
    <t xml:space="preserve">VALOR.GLOBO.COM/</t>
  </si>
  <si>
    <t xml:space="preserve">CLUSTER ROS</t>
  </si>
  <si>
    <t xml:space="preserve">VIDEO PRE ROLL</t>
  </si>
  <si>
    <t xml:space="preserve">ESTADAO</t>
  </si>
  <si>
    <t xml:space="preserve">WWW.ESTADAO.COM.BR</t>
  </si>
  <si>
    <t xml:space="preserve">BILLBOARD 2</t>
  </si>
  <si>
    <t xml:space="preserve">DIARIA SEMANA</t>
  </si>
  <si>
    <t xml:space="preserve">SUPER BANNER</t>
  </si>
  <si>
    <t xml:space="preserve">DIARIA</t>
  </si>
  <si>
    <t xml:space="preserve">SELO LISTA</t>
  </si>
  <si>
    <t xml:space="preserve">MOBILE CLUSTER</t>
  </si>
  <si>
    <t xml:space="preserve">RETANGULO CARROSSEL</t>
  </si>
  <si>
    <t xml:space="preserve">ROS</t>
  </si>
  <si>
    <t xml:space="preserve">HALF PAGE COM VIDEO</t>
  </si>
  <si>
    <t xml:space="preserve">CNN BRASIL</t>
  </si>
  <si>
    <t xml:space="preserve">WWW.CNNBRASIL.COM.BR</t>
  </si>
  <si>
    <t xml:space="preserve">ECONOMIA</t>
  </si>
  <si>
    <t xml:space="preserve">BANNER</t>
  </si>
  <si>
    <t xml:space="preserve">R7</t>
  </si>
  <si>
    <t xml:space="preserve">WWW.R7.COM.BR</t>
  </si>
  <si>
    <t xml:space="preserve">MOBILE</t>
  </si>
  <si>
    <t xml:space="preserve">PRE ROLL C SKIP</t>
  </si>
  <si>
    <t xml:space="preserve">CPV</t>
  </si>
  <si>
    <t xml:space="preserve">ESPORTE</t>
  </si>
  <si>
    <t xml:space="preserve">MOBILE BANNER</t>
  </si>
  <si>
    <t xml:space="preserve">BILLBOARD C/ VIDEO</t>
  </si>
  <si>
    <t xml:space="preserve">POS ROLL C SKIP</t>
  </si>
  <si>
    <t xml:space="preserve">TERRA</t>
  </si>
  <si>
    <t xml:space="preserve">WWW.TERRA.COM.BR</t>
  </si>
  <si>
    <t xml:space="preserve">ANCORA</t>
  </si>
  <si>
    <t xml:space="preserve">MPU</t>
  </si>
  <si>
    <t xml:space="preserve">INTERNACIONAL</t>
  </si>
  <si>
    <t xml:space="preserve">SELO EXCLUSIVO</t>
  </si>
  <si>
    <t xml:space="preserve">TABLET</t>
  </si>
  <si>
    <t xml:space="preserve">BANNER FULL</t>
  </si>
  <si>
    <t xml:space="preserve">WIDE BILLBOARD</t>
  </si>
  <si>
    <t xml:space="preserve">STICK</t>
  </si>
  <si>
    <t xml:space="preserve">DIARIA FIM DE SEMANA</t>
  </si>
  <si>
    <t xml:space="preserve">POLICIA</t>
  </si>
  <si>
    <t xml:space="preserve">HALF PAGE</t>
  </si>
  <si>
    <t xml:space="preserve">SELO</t>
  </si>
  <si>
    <t xml:space="preserve">E INVESTIDOR</t>
  </si>
  <si>
    <t xml:space="preserve">HEADER</t>
  </si>
  <si>
    <t xml:space="preserve">RETANGULO VIDEO</t>
  </si>
  <si>
    <t xml:space="preserve">BILLBOARD 1</t>
  </si>
  <si>
    <t xml:space="preserve">NATIVE AD VIDEO</t>
  </si>
  <si>
    <t xml:space="preserve">CPC</t>
  </si>
  <si>
    <t xml:space="preserve">DC</t>
  </si>
  <si>
    <t xml:space="preserve">WWW.NSCTOTAL.COM.BR/HOME</t>
  </si>
  <si>
    <t xml:space="preserve">ANCHOR</t>
  </si>
  <si>
    <t xml:space="preserve">UOL</t>
  </si>
  <si>
    <t xml:space="preserve">WWW.UOL.COM.BR</t>
  </si>
  <si>
    <t xml:space="preserve">VIDEO BLAST 6MM</t>
  </si>
  <si>
    <t xml:space="preserve">CLIC RBS</t>
  </si>
  <si>
    <t xml:space="preserve">WWW.CLICRBS.COM.BR</t>
  </si>
  <si>
    <t xml:space="preserve">NATIVO</t>
  </si>
  <si>
    <t xml:space="preserve">EDITORIAS</t>
  </si>
  <si>
    <t xml:space="preserve">STICKY BLAST 100%</t>
  </si>
  <si>
    <t xml:space="preserve">LINHA DE CODIGO</t>
  </si>
  <si>
    <t xml:space="preserve">WWW.LINHADECODIGO.COM.BR</t>
  </si>
  <si>
    <t xml:space="preserve">BANNER MESCLADO I</t>
  </si>
  <si>
    <t xml:space="preserve">MENSAL</t>
  </si>
  <si>
    <t xml:space="preserve">ITAPENMA NSC</t>
  </si>
  <si>
    <t xml:space="preserve">HOME + INTERNAS</t>
  </si>
  <si>
    <t xml:space="preserve">BHFM 102</t>
  </si>
  <si>
    <t xml:space="preserve">HTTPS://BHFM.GLOBO.COM/</t>
  </si>
  <si>
    <t xml:space="preserve">PRE ROLL - 15 SEG</t>
  </si>
  <si>
    <t xml:space="preserve">O POVO</t>
  </si>
  <si>
    <t xml:space="preserve">WWW.OPOVO.COM.BR/</t>
  </si>
  <si>
    <t xml:space="preserve">BLOGS DETERMINADO</t>
  </si>
  <si>
    <t xml:space="preserve">BANNER RETANGULO 1</t>
  </si>
  <si>
    <t xml:space="preserve">FIXO</t>
  </si>
  <si>
    <t xml:space="preserve">POP MUNDI</t>
  </si>
  <si>
    <t xml:space="preserve">HTTPS://POPMUNDI.COM.BR/</t>
  </si>
  <si>
    <t xml:space="preserve">BANNER SMALL</t>
  </si>
  <si>
    <t xml:space="preserve">DIARIO DO GRANDE ABC</t>
  </si>
  <si>
    <t xml:space="preserve">WWW.DGABC.COM.BR</t>
  </si>
  <si>
    <t xml:space="preserve">PUBLI EDITORIAL</t>
  </si>
  <si>
    <t xml:space="preserve">Comparativo de Impacto — Modelo Antigo × Modelo Novo</t>
  </si>
  <si>
    <t xml:space="preserve">Indicadores calculados sobre a aba "Entrada e Cálculo" (amostra Jovedata).</t>
  </si>
  <si>
    <t xml:space="preserve">COBERTURA</t>
  </si>
  <si>
    <t xml:space="preserve">Linhas na amostra</t>
  </si>
  <si>
    <t xml:space="preserve">Bloqueadas (dimensão/audiência zerada)</t>
  </si>
  <si>
    <t xml:space="preserve">Calculáveis no modelo novo</t>
  </si>
  <si>
    <t xml:space="preserve">% calculável</t>
  </si>
  <si>
    <t xml:space="preserve">IMPACTO (Razão Novo/Antigo)</t>
  </si>
  <si>
    <t xml:space="preserve">Mediana da razão</t>
  </si>
  <si>
    <t xml:space="preserve">Média da razão</t>
  </si>
  <si>
    <t xml:space="preserve">Mínimo</t>
  </si>
  <si>
    <t xml:space="preserve">Máximo (gargalo de disparo)</t>
  </si>
  <si>
    <t xml:space="preserve">FAIXAS DE IMPACTO</t>
  </si>
  <si>
    <t xml:space="preserve">Cai mais de 50% (&lt;0,5x)</t>
  </si>
  <si>
    <t xml:space="preserve">Cai 20–50% (0,5–0,8x)</t>
  </si>
  <si>
    <t xml:space="preserve">Estável ±25% (0,8–1,25x)</t>
  </si>
  <si>
    <t xml:space="preserve">Sobe 25–100% (1,25–2x)</t>
  </si>
  <si>
    <t xml:space="preserve">Dispara acima de 2x</t>
  </si>
  <si>
    <t xml:space="preserve">EFEITO FINANCEIRO (somatório da amostra)</t>
  </si>
  <si>
    <t xml:space="preserve">Total VALOR ANTIGO</t>
  </si>
  <si>
    <t xml:space="preserve">Total VALOR NOVO bruto (sem trava)</t>
  </si>
  <si>
    <t xml:space="preserve">Total VALOR FINAL com trava</t>
  </si>
  <si>
    <t xml:space="preserve">Variação % final vs antigo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</si>
</sst>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\x"/>
    <numFmt numFmtId="168" formatCode="0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1F2937"/>
      </patternFill>
    </fill>
    <fill>
      <patternFill patternType="solid">
        <fgColor rgb="FFFFF3B0"/>
        <bgColor rgb="FFFFFFCC"/>
      </patternFill>
    </fill>
    <fill>
      <patternFill patternType="solid">
        <fgColor rgb="FFEAF2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2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1428.84</v>
      </c>
      <c r="C5" s="2" t="s">
        <v>4</v>
      </c>
    </row>
    <row r="6" customFormat="false" ht="15" hidden="false" customHeight="false" outlineLevel="0" collapsed="false">
      <c r="A6" s="4" t="s">
        <v>5</v>
      </c>
      <c r="B6" s="5" t="n">
        <v>17.55</v>
      </c>
      <c r="C6" s="2" t="s">
        <v>6</v>
      </c>
    </row>
    <row r="7" customFormat="false" ht="15" hidden="false" customHeight="false" outlineLevel="0" collapsed="false">
      <c r="A7" s="3" t="s">
        <v>7</v>
      </c>
      <c r="B7" s="3"/>
      <c r="C7" s="3"/>
    </row>
    <row r="8" customFormat="false" ht="15" hidden="false" customHeight="false" outlineLevel="0" collapsed="false">
      <c r="A8" s="4" t="s">
        <v>8</v>
      </c>
      <c r="B8" s="5" t="n">
        <v>2</v>
      </c>
      <c r="C8" s="2" t="s">
        <v>9</v>
      </c>
    </row>
    <row r="9" customFormat="false" ht="15" hidden="false" customHeight="false" outlineLevel="0" collapsed="false">
      <c r="A9" s="4" t="s">
        <v>10</v>
      </c>
      <c r="B9" s="5" t="n">
        <v>0.5</v>
      </c>
      <c r="C9" s="2" t="s">
        <v>9</v>
      </c>
    </row>
    <row r="10" customFormat="false" ht="15" hidden="false" customHeight="false" outlineLevel="0" collapsed="false">
      <c r="A10" s="4" t="s">
        <v>11</v>
      </c>
      <c r="B10" s="5" t="n">
        <v>1.25</v>
      </c>
      <c r="C10" s="2" t="s">
        <v>9</v>
      </c>
    </row>
    <row r="11" customFormat="false" ht="15" hidden="false" customHeight="false" outlineLevel="0" collapsed="false">
      <c r="A11" s="4" t="s">
        <v>12</v>
      </c>
      <c r="B11" s="5" t="n">
        <v>0.8</v>
      </c>
      <c r="C11" s="2" t="s">
        <v>9</v>
      </c>
    </row>
  </sheetData>
  <mergeCells count="2">
    <mergeCell ref="A4:C4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7" min="6" style="0" width="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7"/>
    <col collapsed="false" customWidth="true" hidden="false" outlineLevel="0" max="15" min="15" style="0" width="13"/>
    <col collapsed="false" customWidth="true" hidden="false" outlineLevel="0" max="16" min="16" style="0" width="20"/>
    <col collapsed="false" customWidth="true" hidden="false" outlineLevel="0" max="17" min="17" style="0" width="18"/>
  </cols>
  <sheetData>
    <row r="1" customFormat="false" ht="35.05" hidden="false" customHeight="false" outlineLevel="0" collapsed="false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</row>
    <row r="2" customFormat="false" ht="15" hidden="false" customHeight="false" outlineLevel="0" collapsed="false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8" t="n">
        <v>800</v>
      </c>
      <c r="G2" s="8" t="n">
        <v>1260</v>
      </c>
      <c r="H2" s="9" t="n">
        <v>55</v>
      </c>
      <c r="I2" s="9" t="n">
        <v>55</v>
      </c>
      <c r="J2" s="9" t="n">
        <v>85.9</v>
      </c>
      <c r="K2" s="10" t="n">
        <v>3</v>
      </c>
      <c r="L2" s="11" t="n">
        <f aca="false">IF((F2*G2)=0,0,(F2*G2)/Parâmetros!$B$5)</f>
        <v>705.467372134039</v>
      </c>
      <c r="M2" s="11" t="n">
        <f aca="false">(I2/Parâmetros!$B$6)*J2</f>
        <v>269.202279202279</v>
      </c>
      <c r="N2" s="11" t="n">
        <f aca="false">IF(L2=0,"BLOQUEADO",(H2/L2)*J2*K2)</f>
        <v>20.09093625</v>
      </c>
      <c r="O2" s="12" t="n">
        <f aca="false">IF(OR(N2="BLOQUEADO",M2=0),"",N2/M2)</f>
        <v>0.074631375</v>
      </c>
      <c r="P2" s="13" t="str">
        <f aca="false">IF(L2=0,"DIM. ZERADA (trava)",IF(K2=0,"AUDIÊNCIA ZERO (trava)",IF(O2="","-",IF(O2&gt;Parâmetros!$B$8,"DISPARO ↑ (cap)",IF(O2&lt;Parâmetros!$B$9,"QUEDA ↓ (piso)",IF(AND(O2&gt;=Parâmetros!$B$11,O2&lt;=Parâmetros!$B$10),"ESTÁVEL","VARIAÇÃO"))))))</f>
        <v>QUEDA ↓ (piso)</v>
      </c>
      <c r="Q2" s="11" t="n">
        <f aca="false">IF(N2="BLOQUEADO",M2,IF(O2&gt;Parâmetros!$B$8,M2*Parâmetros!$B$8,IF(O2&lt;Parâmetros!$B$9,M2*Parâmetros!$B$9,N2)))</f>
        <v>134.60113960114</v>
      </c>
    </row>
    <row r="3" customFormat="false" ht="15" hidden="false" customHeight="false" outlineLevel="0" collapsed="false">
      <c r="A3" s="7" t="s">
        <v>35</v>
      </c>
      <c r="B3" s="7" t="s">
        <v>36</v>
      </c>
      <c r="C3" s="7" t="s">
        <v>37</v>
      </c>
      <c r="D3" s="7" t="s">
        <v>38</v>
      </c>
      <c r="E3" s="7" t="s">
        <v>34</v>
      </c>
      <c r="F3" s="8" t="n">
        <v>720</v>
      </c>
      <c r="G3" s="8" t="n">
        <v>1280</v>
      </c>
      <c r="H3" s="9" t="n">
        <v>323</v>
      </c>
      <c r="I3" s="9" t="n">
        <v>323</v>
      </c>
      <c r="J3" s="9" t="n">
        <v>325.2</v>
      </c>
      <c r="K3" s="10" t="n">
        <v>3</v>
      </c>
      <c r="L3" s="11" t="n">
        <f aca="false">IF((F3*G3)=0,0,(F3*G3)/Parâmetros!$B$5)</f>
        <v>644.998740236836</v>
      </c>
      <c r="M3" s="11" t="n">
        <f aca="false">(I3/Parâmetros!$B$6)*J3</f>
        <v>5985.16239316239</v>
      </c>
      <c r="N3" s="11" t="n">
        <f aca="false">IF(L3=0,"BLOQUEADO",(H3/L3)*J3*K3)</f>
        <v>488.55723328125</v>
      </c>
      <c r="O3" s="12" t="n">
        <f aca="false">IF(OR(N3="BLOQUEADO",M3=0),"",N3/M3)</f>
        <v>0.08162806640625</v>
      </c>
      <c r="P3" s="13" t="str">
        <f aca="false">IF(L3=0,"DIM. ZERADA (trava)",IF(K3=0,"AUDIÊNCIA ZERO (trava)",IF(O3="","-",IF(O3&gt;Parâmetros!$B$8,"DISPARO ↑ (cap)",IF(O3&lt;Parâmetros!$B$9,"QUEDA ↓ (piso)",IF(AND(O3&gt;=Parâmetros!$B$11,O3&lt;=Parâmetros!$B$10),"ESTÁVEL","VARIAÇÃO"))))))</f>
        <v>QUEDA ↓ (piso)</v>
      </c>
      <c r="Q3" s="11" t="n">
        <f aca="false">IF(N3="BLOQUEADO",M3,IF(O3&gt;Parâmetros!$B$8,M3*Parâmetros!$B$8,IF(O3&lt;Parâmetros!$B$9,M3*Parâmetros!$B$9,N3)))</f>
        <v>2992.5811965812</v>
      </c>
    </row>
    <row r="4" customFormat="false" ht="15" hidden="false" customHeight="false" outlineLevel="0" collapsed="false">
      <c r="A4" s="7" t="s">
        <v>39</v>
      </c>
      <c r="B4" s="7" t="s">
        <v>40</v>
      </c>
      <c r="C4" s="7" t="s">
        <v>32</v>
      </c>
      <c r="D4" s="7" t="s">
        <v>41</v>
      </c>
      <c r="E4" s="7" t="s">
        <v>42</v>
      </c>
      <c r="F4" s="8" t="n">
        <v>250</v>
      </c>
      <c r="G4" s="8" t="n">
        <v>970</v>
      </c>
      <c r="H4" s="9" t="n">
        <v>231779</v>
      </c>
      <c r="I4" s="9" t="n">
        <v>231779</v>
      </c>
      <c r="J4" s="9" t="n">
        <v>209.1</v>
      </c>
      <c r="K4" s="10" t="n">
        <v>3</v>
      </c>
      <c r="L4" s="11" t="n">
        <f aca="false">IF((F4*G4)=0,0,(F4*G4)/Parâmetros!$B$5)</f>
        <v>169.718092998516</v>
      </c>
      <c r="M4" s="11" t="n">
        <f aca="false">(I4/Parâmetros!$B$6)*J4</f>
        <v>2761537.82905983</v>
      </c>
      <c r="N4" s="11" t="n">
        <f aca="false">IF(L4=0,"BLOQUEADO",(H4/L4)*J4*K4)</f>
        <v>856685.13080259</v>
      </c>
      <c r="O4" s="12" t="n">
        <f aca="false">IF(OR(N4="BLOQUEADO",M4=0),"",N4/M4)</f>
        <v>0.310220313402062</v>
      </c>
      <c r="P4" s="13" t="str">
        <f aca="false">IF(L4=0,"DIM. ZERADA (trava)",IF(K4=0,"AUDIÊNCIA ZERO (trava)",IF(O4="","-",IF(O4&gt;Parâmetros!$B$8,"DISPARO ↑ (cap)",IF(O4&lt;Parâmetros!$B$9,"QUEDA ↓ (piso)",IF(AND(O4&gt;=Parâmetros!$B$11,O4&lt;=Parâmetros!$B$10),"ESTÁVEL","VARIAÇÃO"))))))</f>
        <v>QUEDA ↓ (piso)</v>
      </c>
      <c r="Q4" s="11" t="n">
        <f aca="false">IF(N4="BLOQUEADO",M4,IF(O4&gt;Parâmetros!$B$8,M4*Parâmetros!$B$8,IF(O4&lt;Parâmetros!$B$9,M4*Parâmetros!$B$9,N4)))</f>
        <v>1380768.91452991</v>
      </c>
    </row>
    <row r="5" customFormat="false" ht="15" hidden="false" customHeight="false" outlineLevel="0" collapsed="false">
      <c r="A5" s="7" t="s">
        <v>30</v>
      </c>
      <c r="B5" s="7" t="s">
        <v>31</v>
      </c>
      <c r="C5" s="7" t="s">
        <v>32</v>
      </c>
      <c r="D5" s="7" t="s">
        <v>43</v>
      </c>
      <c r="E5" s="7" t="s">
        <v>44</v>
      </c>
      <c r="F5" s="8" t="n">
        <v>90</v>
      </c>
      <c r="G5" s="8" t="n">
        <v>728</v>
      </c>
      <c r="H5" s="9" t="n">
        <v>4800</v>
      </c>
      <c r="I5" s="9" t="n">
        <v>4800</v>
      </c>
      <c r="J5" s="9" t="n">
        <v>306</v>
      </c>
      <c r="K5" s="10" t="n">
        <v>3</v>
      </c>
      <c r="L5" s="11" t="n">
        <f aca="false">IF((F5*G5)=0,0,(F5*G5)/Parâmetros!$B$5)</f>
        <v>45.8553791887125</v>
      </c>
      <c r="M5" s="11" t="n">
        <f aca="false">(I5/Parâmetros!$B$6)*J5</f>
        <v>83692.3076923077</v>
      </c>
      <c r="N5" s="11" t="n">
        <f aca="false">IF(L5=0,"BLOQUEADO",(H5/L5)*J5*K5)</f>
        <v>96093.4153846154</v>
      </c>
      <c r="O5" s="12" t="n">
        <f aca="false">IF(OR(N5="BLOQUEADO",M5=0),"",N5/M5)</f>
        <v>1.148175</v>
      </c>
      <c r="P5" s="13" t="str">
        <f aca="false">IF(L5=0,"DIM. ZERADA (trava)",IF(K5=0,"AUDIÊNCIA ZERO (trava)",IF(O5="","-",IF(O5&gt;Parâmetros!$B$8,"DISPARO ↑ (cap)",IF(O5&lt;Parâmetros!$B$9,"QUEDA ↓ (piso)",IF(AND(O5&gt;=Parâmetros!$B$11,O5&lt;=Parâmetros!$B$10),"ESTÁVEL","VARIAÇÃO"))))))</f>
        <v>ESTÁVEL</v>
      </c>
      <c r="Q5" s="11" t="n">
        <f aca="false">IF(N5="BLOQUEADO",M5,IF(O5&gt;Parâmetros!$B$8,M5*Parâmetros!$B$8,IF(O5&lt;Parâmetros!$B$9,M5*Parâmetros!$B$9,N5)))</f>
        <v>96093.4153846154</v>
      </c>
    </row>
    <row r="6" customFormat="false" ht="15" hidden="false" customHeight="false" outlineLevel="0" collapsed="false">
      <c r="A6" s="7" t="s">
        <v>30</v>
      </c>
      <c r="B6" s="7" t="s">
        <v>31</v>
      </c>
      <c r="C6" s="7" t="s">
        <v>32</v>
      </c>
      <c r="D6" s="7" t="s">
        <v>45</v>
      </c>
      <c r="E6" s="7" t="s">
        <v>34</v>
      </c>
      <c r="F6" s="8" t="n">
        <v>50</v>
      </c>
      <c r="G6" s="8" t="n">
        <v>320</v>
      </c>
      <c r="H6" s="9" t="n">
        <v>20</v>
      </c>
      <c r="I6" s="9" t="n">
        <v>20</v>
      </c>
      <c r="J6" s="9" t="n">
        <v>392.5</v>
      </c>
      <c r="K6" s="10" t="n">
        <v>3</v>
      </c>
      <c r="L6" s="11" t="n">
        <f aca="false">IF((F6*G6)=0,0,(F6*G6)/Parâmetros!$B$5)</f>
        <v>11.1978947957784</v>
      </c>
      <c r="M6" s="11" t="n">
        <f aca="false">(I6/Parâmetros!$B$6)*J6</f>
        <v>447.293447293447</v>
      </c>
      <c r="N6" s="11" t="n">
        <f aca="false">IF(L6=0,"BLOQUEADO",(H6/L6)*J6*K6)</f>
        <v>2103.073875</v>
      </c>
      <c r="O6" s="12" t="n">
        <f aca="false">IF(OR(N6="BLOQUEADO",M6=0),"",N6/M6)</f>
        <v>4.701776625</v>
      </c>
      <c r="P6" s="13" t="str">
        <f aca="false">IF(L6=0,"DIM. ZERADA (trava)",IF(K6=0,"AUDIÊNCIA ZERO (trava)",IF(O6="","-",IF(O6&gt;Parâmetros!$B$8,"DISPARO ↑ (cap)",IF(O6&lt;Parâmetros!$B$9,"QUEDA ↓ (piso)",IF(AND(O6&gt;=Parâmetros!$B$11,O6&lt;=Parâmetros!$B$10),"ESTÁVEL","VARIAÇÃO"))))))</f>
        <v>DISPARO ↑ (cap)</v>
      </c>
      <c r="Q6" s="11" t="n">
        <f aca="false">IF(N6="BLOQUEADO",M6,IF(O6&gt;Parâmetros!$B$8,M6*Parâmetros!$B$8,IF(O6&lt;Parâmetros!$B$9,M6*Parâmetros!$B$9,N6)))</f>
        <v>894.586894586895</v>
      </c>
    </row>
    <row r="7" customFormat="false" ht="15" hidden="false" customHeight="false" outlineLevel="0" collapsed="false">
      <c r="A7" s="7" t="s">
        <v>35</v>
      </c>
      <c r="B7" s="7" t="s">
        <v>36</v>
      </c>
      <c r="C7" s="7" t="s">
        <v>46</v>
      </c>
      <c r="D7" s="7" t="s">
        <v>47</v>
      </c>
      <c r="E7" s="7" t="s">
        <v>34</v>
      </c>
      <c r="F7" s="8" t="n">
        <v>250</v>
      </c>
      <c r="G7" s="8" t="n">
        <v>300</v>
      </c>
      <c r="H7" s="9" t="n">
        <v>323</v>
      </c>
      <c r="I7" s="9" t="n">
        <v>323</v>
      </c>
      <c r="J7" s="9" t="n">
        <v>243.1</v>
      </c>
      <c r="K7" s="10" t="n">
        <v>3</v>
      </c>
      <c r="L7" s="11" t="n">
        <f aca="false">IF((F7*G7)=0,0,(F7*G7)/Parâmetros!$B$5)</f>
        <v>52.4901318552112</v>
      </c>
      <c r="M7" s="11" t="n">
        <f aca="false">(I7/Parâmetros!$B$6)*J7</f>
        <v>4474.14814814815</v>
      </c>
      <c r="N7" s="11" t="n">
        <f aca="false">IF(L7=0,"BLOQUEADO",(H7/L7)*J7*K7)</f>
        <v>4487.77497168</v>
      </c>
      <c r="O7" s="12" t="n">
        <f aca="false">IF(OR(N7="BLOQUEADO",M7=0),"",N7/M7)</f>
        <v>1.00304568</v>
      </c>
      <c r="P7" s="13" t="str">
        <f aca="false">IF(L7=0,"DIM. ZERADA (trava)",IF(K7=0,"AUDIÊNCIA ZERO (trava)",IF(O7="","-",IF(O7&gt;Parâmetros!$B$8,"DISPARO ↑ (cap)",IF(O7&lt;Parâmetros!$B$9,"QUEDA ↓ (piso)",IF(AND(O7&gt;=Parâmetros!$B$11,O7&lt;=Parâmetros!$B$10),"ESTÁVEL","VARIAÇÃO"))))))</f>
        <v>ESTÁVEL</v>
      </c>
      <c r="Q7" s="11" t="n">
        <f aca="false">IF(N7="BLOQUEADO",M7,IF(O7&gt;Parâmetros!$B$8,M7*Parâmetros!$B$8,IF(O7&lt;Parâmetros!$B$9,M7*Parâmetros!$B$9,N7)))</f>
        <v>4487.77497168</v>
      </c>
    </row>
    <row r="8" customFormat="false" ht="15" hidden="false" customHeight="false" outlineLevel="0" collapsed="false">
      <c r="A8" s="7" t="s">
        <v>35</v>
      </c>
      <c r="B8" s="7" t="s">
        <v>36</v>
      </c>
      <c r="C8" s="7" t="s">
        <v>48</v>
      </c>
      <c r="D8" s="7" t="s">
        <v>49</v>
      </c>
      <c r="E8" s="7" t="s">
        <v>34</v>
      </c>
      <c r="F8" s="8" t="n">
        <v>600</v>
      </c>
      <c r="G8" s="8" t="n">
        <v>300</v>
      </c>
      <c r="H8" s="9" t="n">
        <v>404</v>
      </c>
      <c r="I8" s="9" t="n">
        <v>404</v>
      </c>
      <c r="J8" s="9" t="n">
        <v>230.4</v>
      </c>
      <c r="K8" s="10" t="n">
        <v>3</v>
      </c>
      <c r="L8" s="11" t="n">
        <f aca="false">IF((F8*G8)=0,0,(F8*G8)/Parâmetros!$B$5)</f>
        <v>125.976316452507</v>
      </c>
      <c r="M8" s="11" t="n">
        <f aca="false">(I8/Parâmetros!$B$6)*J8</f>
        <v>5303.79487179487</v>
      </c>
      <c r="N8" s="11" t="n">
        <f aca="false">IF(L8=0,"BLOQUEADO",(H8/L8)*J8*K8)</f>
        <v>2216.6452224</v>
      </c>
      <c r="O8" s="12" t="n">
        <f aca="false">IF(OR(N8="BLOQUEADO",M8=0),"",N8/M8)</f>
        <v>0.4179357</v>
      </c>
      <c r="P8" s="13" t="str">
        <f aca="false">IF(L8=0,"DIM. ZERADA (trava)",IF(K8=0,"AUDIÊNCIA ZERO (trava)",IF(O8="","-",IF(O8&gt;Parâmetros!$B$8,"DISPARO ↑ (cap)",IF(O8&lt;Parâmetros!$B$9,"QUEDA ↓ (piso)",IF(AND(O8&gt;=Parâmetros!$B$11,O8&lt;=Parâmetros!$B$10),"ESTÁVEL","VARIAÇÃO"))))))</f>
        <v>QUEDA ↓ (piso)</v>
      </c>
      <c r="Q8" s="11" t="n">
        <f aca="false">IF(N8="BLOQUEADO",M8,IF(O8&gt;Parâmetros!$B$8,M8*Parâmetros!$B$8,IF(O8&lt;Parâmetros!$B$9,M8*Parâmetros!$B$9,N8)))</f>
        <v>2651.89743589744</v>
      </c>
    </row>
    <row r="9" customFormat="false" ht="15" hidden="false" customHeight="false" outlineLevel="0" collapsed="false">
      <c r="A9" s="7" t="s">
        <v>50</v>
      </c>
      <c r="B9" s="7" t="s">
        <v>51</v>
      </c>
      <c r="C9" s="7" t="s">
        <v>52</v>
      </c>
      <c r="D9" s="7" t="s">
        <v>53</v>
      </c>
      <c r="E9" s="7" t="s">
        <v>44</v>
      </c>
      <c r="F9" s="8" t="n">
        <v>21</v>
      </c>
      <c r="G9" s="8" t="n">
        <v>278</v>
      </c>
      <c r="H9" s="9" t="n">
        <v>120000</v>
      </c>
      <c r="I9" s="9" t="n">
        <v>120000</v>
      </c>
      <c r="J9" s="9" t="n">
        <v>84.5</v>
      </c>
      <c r="K9" s="10" t="n">
        <v>3</v>
      </c>
      <c r="L9" s="11" t="n">
        <f aca="false">IF((F9*G9)=0,0,(F9*G9)/Parâmetros!$B$5)</f>
        <v>4.08583186360964</v>
      </c>
      <c r="M9" s="11" t="n">
        <f aca="false">(I9/Parâmetros!$B$6)*J9</f>
        <v>577777.777777778</v>
      </c>
      <c r="N9" s="11" t="n">
        <f aca="false">IF(L9=0,"BLOQUEADO",(H9/L9)*J9*K9)</f>
        <v>7445240.28776979</v>
      </c>
      <c r="O9" s="12" t="n">
        <f aca="false">IF(OR(N9="BLOQUEADO",M9=0),"",N9/M9)</f>
        <v>12.8859928057554</v>
      </c>
      <c r="P9" s="13" t="str">
        <f aca="false">IF(L9=0,"DIM. ZERADA (trava)",IF(K9=0,"AUDIÊNCIA ZERO (trava)",IF(O9="","-",IF(O9&gt;Parâmetros!$B$8,"DISPARO ↑ (cap)",IF(O9&lt;Parâmetros!$B$9,"QUEDA ↓ (piso)",IF(AND(O9&gt;=Parâmetros!$B$11,O9&lt;=Parâmetros!$B$10),"ESTÁVEL","VARIAÇÃO"))))))</f>
        <v>DISPARO ↑ (cap)</v>
      </c>
      <c r="Q9" s="11" t="n">
        <f aca="false">IF(N9="BLOQUEADO",M9,IF(O9&gt;Parâmetros!$B$8,M9*Parâmetros!$B$8,IF(O9&lt;Parâmetros!$B$9,M9*Parâmetros!$B$9,N9)))</f>
        <v>1155555.55555556</v>
      </c>
    </row>
    <row r="10" customFormat="false" ht="15" hidden="false" customHeight="false" outlineLevel="0" collapsed="false">
      <c r="A10" s="7" t="s">
        <v>54</v>
      </c>
      <c r="B10" s="7" t="s">
        <v>55</v>
      </c>
      <c r="C10" s="7" t="s">
        <v>56</v>
      </c>
      <c r="D10" s="7" t="s">
        <v>57</v>
      </c>
      <c r="E10" s="7" t="s">
        <v>58</v>
      </c>
      <c r="F10" s="8" t="n">
        <v>432</v>
      </c>
      <c r="G10" s="8" t="n">
        <v>768</v>
      </c>
      <c r="H10" s="9" t="n">
        <v>0.52</v>
      </c>
      <c r="I10" s="9" t="n">
        <v>0.52</v>
      </c>
      <c r="J10" s="9" t="n">
        <v>151.3</v>
      </c>
      <c r="K10" s="10" t="n">
        <v>3</v>
      </c>
      <c r="L10" s="11" t="n">
        <f aca="false">IF((F10*G10)=0,0,(F10*G10)/Parâmetros!$B$5)</f>
        <v>232.199546485261</v>
      </c>
      <c r="M10" s="11" t="n">
        <f aca="false">(I10/Parâmetros!$B$6)*J10</f>
        <v>4.48296296296296</v>
      </c>
      <c r="N10" s="11" t="n">
        <f aca="false">IF(L10=0,"BLOQUEADO",(H10/L10)*J10*K10)</f>
        <v>1.0164877734375</v>
      </c>
      <c r="O10" s="12" t="n">
        <f aca="false">IF(OR(N10="BLOQUEADO",M10=0),"",N10/M10)</f>
        <v>0.22674462890625</v>
      </c>
      <c r="P10" s="13" t="str">
        <f aca="false">IF(L10=0,"DIM. ZERADA (trava)",IF(K10=0,"AUDIÊNCIA ZERO (trava)",IF(O10="","-",IF(O10&gt;Parâmetros!$B$8,"DISPARO ↑ (cap)",IF(O10&lt;Parâmetros!$B$9,"QUEDA ↓ (piso)",IF(AND(O10&gt;=Parâmetros!$B$11,O10&lt;=Parâmetros!$B$10),"ESTÁVEL","VARIAÇÃO"))))))</f>
        <v>QUEDA ↓ (piso)</v>
      </c>
      <c r="Q10" s="11" t="n">
        <f aca="false">IF(N10="BLOQUEADO",M10,IF(O10&gt;Parâmetros!$B$8,M10*Parâmetros!$B$8,IF(O10&lt;Parâmetros!$B$9,M10*Parâmetros!$B$9,N10)))</f>
        <v>2.24148148148148</v>
      </c>
    </row>
    <row r="11" customFormat="false" ht="15" hidden="false" customHeight="false" outlineLevel="0" collapsed="false">
      <c r="A11" s="7" t="s">
        <v>50</v>
      </c>
      <c r="B11" s="7" t="s">
        <v>51</v>
      </c>
      <c r="C11" s="7" t="s">
        <v>59</v>
      </c>
      <c r="D11" s="7" t="s">
        <v>60</v>
      </c>
      <c r="E11" s="7" t="s">
        <v>34</v>
      </c>
      <c r="F11" s="8" t="n">
        <v>250</v>
      </c>
      <c r="G11" s="8" t="n">
        <v>300</v>
      </c>
      <c r="H11" s="9" t="n">
        <v>60</v>
      </c>
      <c r="I11" s="9" t="n">
        <v>60</v>
      </c>
      <c r="J11" s="9" t="n">
        <v>230</v>
      </c>
      <c r="K11" s="10" t="n">
        <v>3</v>
      </c>
      <c r="L11" s="11" t="n">
        <f aca="false">IF((F11*G11)=0,0,(F11*G11)/Parâmetros!$B$5)</f>
        <v>52.4901318552112</v>
      </c>
      <c r="M11" s="11" t="n">
        <f aca="false">(I11/Parâmetros!$B$6)*J11</f>
        <v>786.324786324786</v>
      </c>
      <c r="N11" s="11" t="n">
        <f aca="false">IF(L11=0,"BLOQUEADO",(H11/L11)*J11*K11)</f>
        <v>788.71968</v>
      </c>
      <c r="O11" s="12" t="n">
        <f aca="false">IF(OR(N11="BLOQUEADO",M11=0),"",N11/M11)</f>
        <v>1.00304568</v>
      </c>
      <c r="P11" s="13" t="str">
        <f aca="false">IF(L11=0,"DIM. ZERADA (trava)",IF(K11=0,"AUDIÊNCIA ZERO (trava)",IF(O11="","-",IF(O11&gt;Parâmetros!$B$8,"DISPARO ↑ (cap)",IF(O11&lt;Parâmetros!$B$9,"QUEDA ↓ (piso)",IF(AND(O11&gt;=Parâmetros!$B$11,O11&lt;=Parâmetros!$B$10),"ESTÁVEL","VARIAÇÃO"))))))</f>
        <v>ESTÁVEL</v>
      </c>
      <c r="Q11" s="11" t="n">
        <f aca="false">IF(N11="BLOQUEADO",M11,IF(O11&gt;Parâmetros!$B$8,M11*Parâmetros!$B$8,IF(O11&lt;Parâmetros!$B$9,M11*Parâmetros!$B$9,N11)))</f>
        <v>788.71968</v>
      </c>
    </row>
    <row r="12" customFormat="false" ht="15" hidden="false" customHeight="false" outlineLevel="0" collapsed="false">
      <c r="A12" s="7" t="s">
        <v>35</v>
      </c>
      <c r="B12" s="7" t="s">
        <v>36</v>
      </c>
      <c r="C12" s="7" t="s">
        <v>48</v>
      </c>
      <c r="D12" s="7" t="s">
        <v>61</v>
      </c>
      <c r="E12" s="7" t="s">
        <v>34</v>
      </c>
      <c r="F12" s="8" t="n">
        <v>250</v>
      </c>
      <c r="G12" s="8" t="n">
        <v>970</v>
      </c>
      <c r="H12" s="9" t="n">
        <v>404</v>
      </c>
      <c r="I12" s="9" t="n">
        <v>404</v>
      </c>
      <c r="J12" s="9" t="n">
        <v>290.9</v>
      </c>
      <c r="K12" s="10" t="n">
        <v>3</v>
      </c>
      <c r="L12" s="11" t="n">
        <f aca="false">IF((F12*G12)=0,0,(F12*G12)/Parâmetros!$B$5)</f>
        <v>169.718092998516</v>
      </c>
      <c r="M12" s="11" t="n">
        <f aca="false">(I12/Parâmetros!$B$6)*J12</f>
        <v>6696.50142450142</v>
      </c>
      <c r="N12" s="11" t="n">
        <f aca="false">IF(L12=0,"BLOQUEADO",(H12/L12)*J12*K12)</f>
        <v>2077.39077060619</v>
      </c>
      <c r="O12" s="12" t="n">
        <f aca="false">IF(OR(N12="BLOQUEADO",M12=0),"",N12/M12)</f>
        <v>0.310220313402062</v>
      </c>
      <c r="P12" s="13" t="str">
        <f aca="false">IF(L12=0,"DIM. ZERADA (trava)",IF(K12=0,"AUDIÊNCIA ZERO (trava)",IF(O12="","-",IF(O12&gt;Parâmetros!$B$8,"DISPARO ↑ (cap)",IF(O12&lt;Parâmetros!$B$9,"QUEDA ↓ (piso)",IF(AND(O12&gt;=Parâmetros!$B$11,O12&lt;=Parâmetros!$B$10),"ESTÁVEL","VARIAÇÃO"))))))</f>
        <v>QUEDA ↓ (piso)</v>
      </c>
      <c r="Q12" s="11" t="n">
        <f aca="false">IF(N12="BLOQUEADO",M12,IF(O12&gt;Parâmetros!$B$8,M12*Parâmetros!$B$8,IF(O12&lt;Parâmetros!$B$9,M12*Parâmetros!$B$9,N12)))</f>
        <v>3348.25071225071</v>
      </c>
    </row>
    <row r="13" customFormat="false" ht="15" hidden="false" customHeight="false" outlineLevel="0" collapsed="false">
      <c r="A13" s="7" t="s">
        <v>54</v>
      </c>
      <c r="B13" s="7" t="s">
        <v>55</v>
      </c>
      <c r="C13" s="7" t="s">
        <v>32</v>
      </c>
      <c r="D13" s="7" t="s">
        <v>62</v>
      </c>
      <c r="E13" s="7" t="s">
        <v>58</v>
      </c>
      <c r="F13" s="8" t="n">
        <v>432</v>
      </c>
      <c r="G13" s="8" t="n">
        <v>768</v>
      </c>
      <c r="H13" s="9" t="n">
        <v>0.52</v>
      </c>
      <c r="I13" s="9" t="n">
        <v>0.52</v>
      </c>
      <c r="J13" s="9" t="n">
        <v>333.3</v>
      </c>
      <c r="K13" s="10" t="n">
        <v>3</v>
      </c>
      <c r="L13" s="11" t="n">
        <f aca="false">IF((F13*G13)=0,0,(F13*G13)/Parâmetros!$B$5)</f>
        <v>232.199546485261</v>
      </c>
      <c r="M13" s="11" t="n">
        <f aca="false">(I13/Parâmetros!$B$6)*J13</f>
        <v>9.87555555555556</v>
      </c>
      <c r="N13" s="11" t="n">
        <f aca="false">IF(L13=0,"BLOQUEADO",(H13/L13)*J13*K13)</f>
        <v>2.2392291796875</v>
      </c>
      <c r="O13" s="12" t="n">
        <f aca="false">IF(OR(N13="BLOQUEADO",M13=0),"",N13/M13)</f>
        <v>0.22674462890625</v>
      </c>
      <c r="P13" s="13" t="str">
        <f aca="false">IF(L13=0,"DIM. ZERADA (trava)",IF(K13=0,"AUDIÊNCIA ZERO (trava)",IF(O13="","-",IF(O13&gt;Parâmetros!$B$8,"DISPARO ↑ (cap)",IF(O13&lt;Parâmetros!$B$9,"QUEDA ↓ (piso)",IF(AND(O13&gt;=Parâmetros!$B$11,O13&lt;=Parâmetros!$B$10),"ESTÁVEL","VARIAÇÃO"))))))</f>
        <v>QUEDA ↓ (piso)</v>
      </c>
      <c r="Q13" s="11" t="n">
        <f aca="false">IF(N13="BLOQUEADO",M13,IF(O13&gt;Parâmetros!$B$8,M13*Parâmetros!$B$8,IF(O13&lt;Parâmetros!$B$9,M13*Parâmetros!$B$9,N13)))</f>
        <v>4.93777777777778</v>
      </c>
    </row>
    <row r="14" customFormat="false" ht="15" hidden="false" customHeight="false" outlineLevel="0" collapsed="false">
      <c r="A14" s="7" t="s">
        <v>63</v>
      </c>
      <c r="B14" s="7" t="s">
        <v>64</v>
      </c>
      <c r="C14" s="7" t="s">
        <v>32</v>
      </c>
      <c r="D14" s="7" t="s">
        <v>65</v>
      </c>
      <c r="E14" s="7" t="s">
        <v>34</v>
      </c>
      <c r="F14" s="8" t="n">
        <v>100</v>
      </c>
      <c r="G14" s="8" t="n">
        <v>300</v>
      </c>
      <c r="H14" s="9" t="n">
        <v>139</v>
      </c>
      <c r="I14" s="9" t="n">
        <v>139</v>
      </c>
      <c r="J14" s="9" t="n">
        <v>189.5</v>
      </c>
      <c r="K14" s="10" t="n">
        <v>3</v>
      </c>
      <c r="L14" s="11" t="n">
        <f aca="false">IF((F14*G14)=0,0,(F14*G14)/Parâmetros!$B$5)</f>
        <v>20.9960527420845</v>
      </c>
      <c r="M14" s="11" t="n">
        <f aca="false">(I14/Parâmetros!$B$6)*J14</f>
        <v>1500.88319088319</v>
      </c>
      <c r="N14" s="11" t="n">
        <f aca="false">IF(L14=0,"BLOQUEADO",(H14/L14)*J14*K14)</f>
        <v>3763.636002</v>
      </c>
      <c r="O14" s="12" t="n">
        <f aca="false">IF(OR(N14="BLOQUEADO",M14=0),"",N14/M14)</f>
        <v>2.5076142</v>
      </c>
      <c r="P14" s="13" t="str">
        <f aca="false">IF(L14=0,"DIM. ZERADA (trava)",IF(K14=0,"AUDIÊNCIA ZERO (trava)",IF(O14="","-",IF(O14&gt;Parâmetros!$B$8,"DISPARO ↑ (cap)",IF(O14&lt;Parâmetros!$B$9,"QUEDA ↓ (piso)",IF(AND(O14&gt;=Parâmetros!$B$11,O14&lt;=Parâmetros!$B$10),"ESTÁVEL","VARIAÇÃO"))))))</f>
        <v>DISPARO ↑ (cap)</v>
      </c>
      <c r="Q14" s="11" t="n">
        <f aca="false">IF(N14="BLOQUEADO",M14,IF(O14&gt;Parâmetros!$B$8,M14*Parâmetros!$B$8,IF(O14&lt;Parâmetros!$B$9,M14*Parâmetros!$B$9,N14)))</f>
        <v>3001.76638176638</v>
      </c>
    </row>
    <row r="15" customFormat="false" ht="15" hidden="false" customHeight="false" outlineLevel="0" collapsed="false">
      <c r="A15" s="7" t="s">
        <v>50</v>
      </c>
      <c r="B15" s="7" t="s">
        <v>51</v>
      </c>
      <c r="C15" s="7" t="s">
        <v>59</v>
      </c>
      <c r="D15" s="7" t="s">
        <v>66</v>
      </c>
      <c r="E15" s="7" t="s">
        <v>34</v>
      </c>
      <c r="F15" s="8" t="n">
        <v>250</v>
      </c>
      <c r="G15" s="8" t="n">
        <v>300</v>
      </c>
      <c r="H15" s="9" t="n">
        <v>60</v>
      </c>
      <c r="I15" s="9" t="n">
        <v>60</v>
      </c>
      <c r="J15" s="9" t="n">
        <v>82.4</v>
      </c>
      <c r="K15" s="10" t="n">
        <v>3</v>
      </c>
      <c r="L15" s="11" t="n">
        <f aca="false">IF((F15*G15)=0,0,(F15*G15)/Parâmetros!$B$5)</f>
        <v>52.4901318552112</v>
      </c>
      <c r="M15" s="11" t="n">
        <f aca="false">(I15/Parâmetros!$B$6)*J15</f>
        <v>281.709401709402</v>
      </c>
      <c r="N15" s="11" t="n">
        <f aca="false">IF(L15=0,"BLOQUEADO",(H15/L15)*J15*K15)</f>
        <v>282.5673984</v>
      </c>
      <c r="O15" s="12" t="n">
        <f aca="false">IF(OR(N15="BLOQUEADO",M15=0),"",N15/M15)</f>
        <v>1.00304568</v>
      </c>
      <c r="P15" s="13" t="str">
        <f aca="false">IF(L15=0,"DIM. ZERADA (trava)",IF(K15=0,"AUDIÊNCIA ZERO (trava)",IF(O15="","-",IF(O15&gt;Parâmetros!$B$8,"DISPARO ↑ (cap)",IF(O15&lt;Parâmetros!$B$9,"QUEDA ↓ (piso)",IF(AND(O15&gt;=Parâmetros!$B$11,O15&lt;=Parâmetros!$B$10),"ESTÁVEL","VARIAÇÃO"))))))</f>
        <v>ESTÁVEL</v>
      </c>
      <c r="Q15" s="11" t="n">
        <f aca="false">IF(N15="BLOQUEADO",M15,IF(O15&gt;Parâmetros!$B$8,M15*Parâmetros!$B$8,IF(O15&lt;Parâmetros!$B$9,M15*Parâmetros!$B$9,N15)))</f>
        <v>282.5673984</v>
      </c>
    </row>
    <row r="16" customFormat="false" ht="15" hidden="false" customHeight="false" outlineLevel="0" collapsed="false">
      <c r="A16" s="7" t="s">
        <v>50</v>
      </c>
      <c r="B16" s="7" t="s">
        <v>51</v>
      </c>
      <c r="C16" s="7" t="s">
        <v>67</v>
      </c>
      <c r="D16" s="7" t="s">
        <v>68</v>
      </c>
      <c r="E16" s="7" t="s">
        <v>44</v>
      </c>
      <c r="F16" s="8" t="n">
        <v>90</v>
      </c>
      <c r="G16" s="8" t="n">
        <v>180</v>
      </c>
      <c r="H16" s="9" t="n">
        <v>120000</v>
      </c>
      <c r="I16" s="9" t="n">
        <v>120000</v>
      </c>
      <c r="J16" s="9" t="n">
        <v>158</v>
      </c>
      <c r="K16" s="10" t="n">
        <v>3</v>
      </c>
      <c r="L16" s="11" t="n">
        <f aca="false">IF((F16*G16)=0,0,(F16*G16)/Parâmetros!$B$5)</f>
        <v>11.3378684807256</v>
      </c>
      <c r="M16" s="11" t="n">
        <f aca="false">(I16/Parâmetros!$B$6)*J16</f>
        <v>1080341.88034188</v>
      </c>
      <c r="N16" s="11" t="n">
        <f aca="false">IF(L16=0,"BLOQUEADO",(H16/L16)*J16*K16)</f>
        <v>5016816</v>
      </c>
      <c r="O16" s="12" t="n">
        <f aca="false">IF(OR(N16="BLOQUEADO",M16=0),"",N16/M16)</f>
        <v>4.64373</v>
      </c>
      <c r="P16" s="13" t="str">
        <f aca="false">IF(L16=0,"DIM. ZERADA (trava)",IF(K16=0,"AUDIÊNCIA ZERO (trava)",IF(O16="","-",IF(O16&gt;Parâmetros!$B$8,"DISPARO ↑ (cap)",IF(O16&lt;Parâmetros!$B$9,"QUEDA ↓ (piso)",IF(AND(O16&gt;=Parâmetros!$B$11,O16&lt;=Parâmetros!$B$10),"ESTÁVEL","VARIAÇÃO"))))))</f>
        <v>DISPARO ↑ (cap)</v>
      </c>
      <c r="Q16" s="11" t="n">
        <f aca="false">IF(N16="BLOQUEADO",M16,IF(O16&gt;Parâmetros!$B$8,M16*Parâmetros!$B$8,IF(O16&lt;Parâmetros!$B$9,M16*Parâmetros!$B$9,N16)))</f>
        <v>2160683.76068376</v>
      </c>
    </row>
    <row r="17" customFormat="false" ht="15" hidden="false" customHeight="false" outlineLevel="0" collapsed="false">
      <c r="A17" s="7" t="s">
        <v>54</v>
      </c>
      <c r="B17" s="7" t="s">
        <v>55</v>
      </c>
      <c r="C17" s="7" t="s">
        <v>69</v>
      </c>
      <c r="D17" s="7" t="s">
        <v>57</v>
      </c>
      <c r="E17" s="7" t="s">
        <v>58</v>
      </c>
      <c r="F17" s="8" t="n">
        <v>432</v>
      </c>
      <c r="G17" s="8" t="n">
        <v>768</v>
      </c>
      <c r="H17" s="9" t="n">
        <v>0.52</v>
      </c>
      <c r="I17" s="9" t="n">
        <v>0.52</v>
      </c>
      <c r="J17" s="9" t="n">
        <v>369.3</v>
      </c>
      <c r="K17" s="10" t="n">
        <v>3</v>
      </c>
      <c r="L17" s="11" t="n">
        <f aca="false">IF((F17*G17)=0,0,(F17*G17)/Parâmetros!$B$5)</f>
        <v>232.199546485261</v>
      </c>
      <c r="M17" s="11" t="n">
        <f aca="false">(I17/Parâmetros!$B$6)*J17</f>
        <v>10.9422222222222</v>
      </c>
      <c r="N17" s="11" t="n">
        <f aca="false">IF(L17=0,"BLOQUEADO",(H17/L17)*J17*K17)</f>
        <v>2.4810901171875</v>
      </c>
      <c r="O17" s="12" t="n">
        <f aca="false">IF(OR(N17="BLOQUEADO",M17=0),"",N17/M17)</f>
        <v>0.22674462890625</v>
      </c>
      <c r="P17" s="13" t="str">
        <f aca="false">IF(L17=0,"DIM. ZERADA (trava)",IF(K17=0,"AUDIÊNCIA ZERO (trava)",IF(O17="","-",IF(O17&gt;Parâmetros!$B$8,"DISPARO ↑ (cap)",IF(O17&lt;Parâmetros!$B$9,"QUEDA ↓ (piso)",IF(AND(O17&gt;=Parâmetros!$B$11,O17&lt;=Parâmetros!$B$10),"ESTÁVEL","VARIAÇÃO"))))))</f>
        <v>QUEDA ↓ (piso)</v>
      </c>
      <c r="Q17" s="11" t="n">
        <f aca="false">IF(N17="BLOQUEADO",M17,IF(O17&gt;Parâmetros!$B$8,M17*Parâmetros!$B$8,IF(O17&lt;Parâmetros!$B$9,M17*Parâmetros!$B$9,N17)))</f>
        <v>5.47111111111111</v>
      </c>
    </row>
    <row r="18" customFormat="false" ht="15" hidden="false" customHeight="false" outlineLevel="0" collapsed="false">
      <c r="A18" s="7" t="s">
        <v>35</v>
      </c>
      <c r="B18" s="7" t="s">
        <v>36</v>
      </c>
      <c r="C18" s="7" t="s">
        <v>32</v>
      </c>
      <c r="D18" s="7" t="s">
        <v>70</v>
      </c>
      <c r="E18" s="7" t="s">
        <v>34</v>
      </c>
      <c r="F18" s="8" t="n">
        <v>250</v>
      </c>
      <c r="G18" s="8" t="n">
        <v>970</v>
      </c>
      <c r="H18" s="9" t="n">
        <v>357.97</v>
      </c>
      <c r="I18" s="9" t="n">
        <v>357.97</v>
      </c>
      <c r="J18" s="9" t="n">
        <v>132.6</v>
      </c>
      <c r="K18" s="10" t="n">
        <v>3</v>
      </c>
      <c r="L18" s="11" t="n">
        <f aca="false">IF((F18*G18)=0,0,(F18*G18)/Parâmetros!$B$5)</f>
        <v>169.718092998516</v>
      </c>
      <c r="M18" s="11" t="n">
        <f aca="false">(I18/Parâmetros!$B$6)*J18</f>
        <v>2704.66222222222</v>
      </c>
      <c r="N18" s="11" t="n">
        <f aca="false">IF(L18=0,"BLOQUEADO",(H18/L18)*J18*K18)</f>
        <v>839.041162224495</v>
      </c>
      <c r="O18" s="12" t="n">
        <f aca="false">IF(OR(N18="BLOQUEADO",M18=0),"",N18/M18)</f>
        <v>0.310220313402062</v>
      </c>
      <c r="P18" s="13" t="str">
        <f aca="false">IF(L18=0,"DIM. ZERADA (trava)",IF(K18=0,"AUDIÊNCIA ZERO (trava)",IF(O18="","-",IF(O18&gt;Parâmetros!$B$8,"DISPARO ↑ (cap)",IF(O18&lt;Parâmetros!$B$9,"QUEDA ↓ (piso)",IF(AND(O18&gt;=Parâmetros!$B$11,O18&lt;=Parâmetros!$B$10),"ESTÁVEL","VARIAÇÃO"))))))</f>
        <v>QUEDA ↓ (piso)</v>
      </c>
      <c r="Q18" s="11" t="n">
        <f aca="false">IF(N18="BLOQUEADO",M18,IF(O18&gt;Parâmetros!$B$8,M18*Parâmetros!$B$8,IF(O18&lt;Parâmetros!$B$9,M18*Parâmetros!$B$9,N18)))</f>
        <v>1352.33111111111</v>
      </c>
    </row>
    <row r="19" customFormat="false" ht="15" hidden="false" customHeight="false" outlineLevel="0" collapsed="false">
      <c r="A19" s="7" t="s">
        <v>63</v>
      </c>
      <c r="B19" s="7" t="s">
        <v>64</v>
      </c>
      <c r="C19" s="7" t="s">
        <v>69</v>
      </c>
      <c r="D19" s="7" t="s">
        <v>71</v>
      </c>
      <c r="E19" s="7" t="s">
        <v>44</v>
      </c>
      <c r="F19" s="8" t="n">
        <v>250</v>
      </c>
      <c r="G19" s="8" t="n">
        <v>1272</v>
      </c>
      <c r="H19" s="9" t="n">
        <v>103600</v>
      </c>
      <c r="I19" s="9" t="n">
        <v>103600</v>
      </c>
      <c r="J19" s="9" t="n">
        <v>213.7</v>
      </c>
      <c r="K19" s="10" t="n">
        <v>3</v>
      </c>
      <c r="L19" s="11" t="n">
        <f aca="false">IF((F19*G19)=0,0,(F19*G19)/Parâmetros!$B$5)</f>
        <v>222.558159066096</v>
      </c>
      <c r="M19" s="11" t="n">
        <f aca="false">(I19/Parâmetros!$B$6)*J19</f>
        <v>1261499.71509972</v>
      </c>
      <c r="N19" s="11" t="n">
        <f aca="false">IF(L19=0,"BLOQUEADO",(H19/L19)*J19*K19)</f>
        <v>298429.679139623</v>
      </c>
      <c r="O19" s="12" t="n">
        <f aca="false">IF(OR(N19="BLOQUEADO",M19=0),"",N19/M19)</f>
        <v>0.236567377358491</v>
      </c>
      <c r="P19" s="13" t="str">
        <f aca="false">IF(L19=0,"DIM. ZERADA (trava)",IF(K19=0,"AUDIÊNCIA ZERO (trava)",IF(O19="","-",IF(O19&gt;Parâmetros!$B$8,"DISPARO ↑ (cap)",IF(O19&lt;Parâmetros!$B$9,"QUEDA ↓ (piso)",IF(AND(O19&gt;=Parâmetros!$B$11,O19&lt;=Parâmetros!$B$10),"ESTÁVEL","VARIAÇÃO"))))))</f>
        <v>QUEDA ↓ (piso)</v>
      </c>
      <c r="Q19" s="11" t="n">
        <f aca="false">IF(N19="BLOQUEADO",M19,IF(O19&gt;Parâmetros!$B$8,M19*Parâmetros!$B$8,IF(O19&lt;Parâmetros!$B$9,M19*Parâmetros!$B$9,N19)))</f>
        <v>630749.857549858</v>
      </c>
    </row>
    <row r="20" customFormat="false" ht="15" hidden="false" customHeight="false" outlineLevel="0" collapsed="false">
      <c r="A20" s="7" t="s">
        <v>39</v>
      </c>
      <c r="B20" s="7" t="s">
        <v>40</v>
      </c>
      <c r="C20" s="7" t="s">
        <v>52</v>
      </c>
      <c r="D20" s="7" t="s">
        <v>72</v>
      </c>
      <c r="E20" s="7" t="s">
        <v>73</v>
      </c>
      <c r="F20" s="8" t="n">
        <v>50</v>
      </c>
      <c r="G20" s="8" t="n">
        <v>300</v>
      </c>
      <c r="H20" s="9" t="n">
        <v>75564</v>
      </c>
      <c r="I20" s="9" t="n">
        <v>75564</v>
      </c>
      <c r="J20" s="9" t="n">
        <v>376.6</v>
      </c>
      <c r="K20" s="10" t="n">
        <v>3</v>
      </c>
      <c r="L20" s="11" t="n">
        <f aca="false">IF((F20*G20)=0,0,(F20*G20)/Parâmetros!$B$5)</f>
        <v>10.4980263710422</v>
      </c>
      <c r="M20" s="11" t="n">
        <f aca="false">(I20/Parâmetros!$B$6)*J20</f>
        <v>1621504.41025641</v>
      </c>
      <c r="N20" s="11" t="n">
        <f aca="false">IF(L20=0,"BLOQUEADO",(H20/L20)*J20*K20)</f>
        <v>8132214.9690432</v>
      </c>
      <c r="O20" s="12" t="n">
        <f aca="false">IF(OR(N20="BLOQUEADO",M20=0),"",N20/M20)</f>
        <v>5.0152284</v>
      </c>
      <c r="P20" s="13" t="str">
        <f aca="false">IF(L20=0,"DIM. ZERADA (trava)",IF(K20=0,"AUDIÊNCIA ZERO (trava)",IF(O20="","-",IF(O20&gt;Parâmetros!$B$8,"DISPARO ↑ (cap)",IF(O20&lt;Parâmetros!$B$9,"QUEDA ↓ (piso)",IF(AND(O20&gt;=Parâmetros!$B$11,O20&lt;=Parâmetros!$B$10),"ESTÁVEL","VARIAÇÃO"))))))</f>
        <v>DISPARO ↑ (cap)</v>
      </c>
      <c r="Q20" s="11" t="n">
        <f aca="false">IF(N20="BLOQUEADO",M20,IF(O20&gt;Parâmetros!$B$8,M20*Parâmetros!$B$8,IF(O20&lt;Parâmetros!$B$9,M20*Parâmetros!$B$9,N20)))</f>
        <v>3243008.82051282</v>
      </c>
    </row>
    <row r="21" customFormat="false" ht="15" hidden="false" customHeight="false" outlineLevel="0" collapsed="false">
      <c r="A21" s="7" t="s">
        <v>50</v>
      </c>
      <c r="B21" s="7" t="s">
        <v>51</v>
      </c>
      <c r="C21" s="7" t="s">
        <v>74</v>
      </c>
      <c r="D21" s="7" t="s">
        <v>75</v>
      </c>
      <c r="E21" s="7" t="s">
        <v>34</v>
      </c>
      <c r="F21" s="8" t="n">
        <v>250</v>
      </c>
      <c r="G21" s="8" t="n">
        <v>320</v>
      </c>
      <c r="H21" s="9" t="n">
        <v>60</v>
      </c>
      <c r="I21" s="9" t="n">
        <v>60</v>
      </c>
      <c r="J21" s="9" t="n">
        <v>68.5</v>
      </c>
      <c r="K21" s="10" t="n">
        <v>3</v>
      </c>
      <c r="L21" s="11" t="n">
        <f aca="false">IF((F21*G21)=0,0,(F21*G21)/Parâmetros!$B$5)</f>
        <v>55.989473978892</v>
      </c>
      <c r="M21" s="11" t="n">
        <f aca="false">(I21/Parâmetros!$B$6)*J21</f>
        <v>234.188034188034</v>
      </c>
      <c r="N21" s="11" t="n">
        <f aca="false">IF(L21=0,"BLOQUEADO",(H21/L21)*J21*K21)</f>
        <v>220.219965</v>
      </c>
      <c r="O21" s="12" t="n">
        <f aca="false">IF(OR(N21="BLOQUEADO",M21=0),"",N21/M21)</f>
        <v>0.940355325</v>
      </c>
      <c r="P21" s="13" t="str">
        <f aca="false">IF(L21=0,"DIM. ZERADA (trava)",IF(K21=0,"AUDIÊNCIA ZERO (trava)",IF(O21="","-",IF(O21&gt;Parâmetros!$B$8,"DISPARO ↑ (cap)",IF(O21&lt;Parâmetros!$B$9,"QUEDA ↓ (piso)",IF(AND(O21&gt;=Parâmetros!$B$11,O21&lt;=Parâmetros!$B$10),"ESTÁVEL","VARIAÇÃO"))))))</f>
        <v>ESTÁVEL</v>
      </c>
      <c r="Q21" s="11" t="n">
        <f aca="false">IF(N21="BLOQUEADO",M21,IF(O21&gt;Parâmetros!$B$8,M21*Parâmetros!$B$8,IF(O21&lt;Parâmetros!$B$9,M21*Parâmetros!$B$9,N21)))</f>
        <v>220.219965</v>
      </c>
    </row>
    <row r="22" customFormat="false" ht="15" hidden="false" customHeight="false" outlineLevel="0" collapsed="false">
      <c r="A22" s="7" t="s">
        <v>50</v>
      </c>
      <c r="B22" s="7" t="s">
        <v>51</v>
      </c>
      <c r="C22" s="7" t="s">
        <v>59</v>
      </c>
      <c r="D22" s="7" t="s">
        <v>76</v>
      </c>
      <c r="E22" s="7" t="s">
        <v>44</v>
      </c>
      <c r="F22" s="8" t="n">
        <v>36</v>
      </c>
      <c r="G22" s="8" t="n">
        <v>162</v>
      </c>
      <c r="H22" s="9" t="n">
        <v>120000</v>
      </c>
      <c r="I22" s="9" t="n">
        <v>120000</v>
      </c>
      <c r="J22" s="9" t="n">
        <v>264.2</v>
      </c>
      <c r="K22" s="10" t="n">
        <v>3</v>
      </c>
      <c r="L22" s="11" t="n">
        <f aca="false">IF((F22*G22)=0,0,(F22*G22)/Parâmetros!$B$5)</f>
        <v>4.08163265306123</v>
      </c>
      <c r="M22" s="11" t="n">
        <f aca="false">(I22/Parâmetros!$B$6)*J22</f>
        <v>1806495.72649573</v>
      </c>
      <c r="N22" s="11" t="n">
        <f aca="false">IF(L22=0,"BLOQUEADO",(H22/L22)*J22*K22)</f>
        <v>23302440</v>
      </c>
      <c r="O22" s="12" t="n">
        <f aca="false">IF(OR(N22="BLOQUEADO",M22=0),"",N22/M22)</f>
        <v>12.89925</v>
      </c>
      <c r="P22" s="13" t="str">
        <f aca="false">IF(L22=0,"DIM. ZERADA (trava)",IF(K22=0,"AUDIÊNCIA ZERO (trava)",IF(O22="","-",IF(O22&gt;Parâmetros!$B$8,"DISPARO ↑ (cap)",IF(O22&lt;Parâmetros!$B$9,"QUEDA ↓ (piso)",IF(AND(O22&gt;=Parâmetros!$B$11,O22&lt;=Parâmetros!$B$10),"ESTÁVEL","VARIAÇÃO"))))))</f>
        <v>DISPARO ↑ (cap)</v>
      </c>
      <c r="Q22" s="11" t="n">
        <f aca="false">IF(N22="BLOQUEADO",M22,IF(O22&gt;Parâmetros!$B$8,M22*Parâmetros!$B$8,IF(O22&lt;Parâmetros!$B$9,M22*Parâmetros!$B$9,N22)))</f>
        <v>3612991.45299145</v>
      </c>
    </row>
    <row r="23" customFormat="false" ht="15" hidden="false" customHeight="false" outlineLevel="0" collapsed="false">
      <c r="A23" s="7" t="s">
        <v>39</v>
      </c>
      <c r="B23" s="7" t="s">
        <v>40</v>
      </c>
      <c r="C23" s="7" t="s">
        <v>77</v>
      </c>
      <c r="D23" s="7" t="s">
        <v>78</v>
      </c>
      <c r="E23" s="7" t="s">
        <v>73</v>
      </c>
      <c r="F23" s="8" t="n">
        <v>150</v>
      </c>
      <c r="G23" s="8" t="n">
        <v>1920</v>
      </c>
      <c r="H23" s="9" t="n">
        <v>80853</v>
      </c>
      <c r="I23" s="9" t="n">
        <v>80853</v>
      </c>
      <c r="J23" s="9" t="n">
        <v>383</v>
      </c>
      <c r="K23" s="10" t="n">
        <v>3</v>
      </c>
      <c r="L23" s="11" t="n">
        <f aca="false">IF((F23*G23)=0,0,(F23*G23)/Parâmetros!$B$5)</f>
        <v>201.562106324011</v>
      </c>
      <c r="M23" s="11" t="n">
        <f aca="false">(I23/Parâmetros!$B$6)*J23</f>
        <v>1764484.27350427</v>
      </c>
      <c r="N23" s="11" t="n">
        <f aca="false">IF(L23=0,"BLOQUEADO",(H23/L23)*J23*K23)</f>
        <v>460900.60624125</v>
      </c>
      <c r="O23" s="12" t="n">
        <f aca="false">IF(OR(N23="BLOQUEADO",M23=0),"",N23/M23)</f>
        <v>0.2612098125</v>
      </c>
      <c r="P23" s="13" t="str">
        <f aca="false">IF(L23=0,"DIM. ZERADA (trava)",IF(K23=0,"AUDIÊNCIA ZERO (trava)",IF(O23="","-",IF(O23&gt;Parâmetros!$B$8,"DISPARO ↑ (cap)",IF(O23&lt;Parâmetros!$B$9,"QUEDA ↓ (piso)",IF(AND(O23&gt;=Parâmetros!$B$11,O23&lt;=Parâmetros!$B$10),"ESTÁVEL","VARIAÇÃO"))))))</f>
        <v>QUEDA ↓ (piso)</v>
      </c>
      <c r="Q23" s="11" t="n">
        <f aca="false">IF(N23="BLOQUEADO",M23,IF(O23&gt;Parâmetros!$B$8,M23*Parâmetros!$B$8,IF(O23&lt;Parâmetros!$B$9,M23*Parâmetros!$B$9,N23)))</f>
        <v>882242.136752137</v>
      </c>
    </row>
    <row r="24" customFormat="false" ht="15" hidden="false" customHeight="false" outlineLevel="0" collapsed="false">
      <c r="A24" s="7" t="s">
        <v>35</v>
      </c>
      <c r="B24" s="7" t="s">
        <v>36</v>
      </c>
      <c r="C24" s="7" t="s">
        <v>48</v>
      </c>
      <c r="D24" s="7" t="s">
        <v>79</v>
      </c>
      <c r="E24" s="7" t="s">
        <v>34</v>
      </c>
      <c r="F24" s="8" t="n">
        <v>250</v>
      </c>
      <c r="G24" s="8" t="n">
        <v>300</v>
      </c>
      <c r="H24" s="9" t="n">
        <v>404</v>
      </c>
      <c r="I24" s="9" t="n">
        <v>404</v>
      </c>
      <c r="J24" s="9" t="n">
        <v>138.3</v>
      </c>
      <c r="K24" s="10" t="n">
        <v>3</v>
      </c>
      <c r="L24" s="11" t="n">
        <f aca="false">IF((F24*G24)=0,0,(F24*G24)/Parâmetros!$B$5)</f>
        <v>52.4901318552112</v>
      </c>
      <c r="M24" s="11" t="n">
        <f aca="false">(I24/Parâmetros!$B$6)*J24</f>
        <v>3183.65811965812</v>
      </c>
      <c r="N24" s="11" t="n">
        <f aca="false">IF(L24=0,"BLOQUEADO",(H24/L24)*J24*K24)</f>
        <v>3193.35452352</v>
      </c>
      <c r="O24" s="12" t="n">
        <f aca="false">IF(OR(N24="BLOQUEADO",M24=0),"",N24/M24)</f>
        <v>1.00304568</v>
      </c>
      <c r="P24" s="13" t="str">
        <f aca="false">IF(L24=0,"DIM. ZERADA (trava)",IF(K24=0,"AUDIÊNCIA ZERO (trava)",IF(O24="","-",IF(O24&gt;Parâmetros!$B$8,"DISPARO ↑ (cap)",IF(O24&lt;Parâmetros!$B$9,"QUEDA ↓ (piso)",IF(AND(O24&gt;=Parâmetros!$B$11,O24&lt;=Parâmetros!$B$10),"ESTÁVEL","VARIAÇÃO"))))))</f>
        <v>ESTÁVEL</v>
      </c>
      <c r="Q24" s="11" t="n">
        <f aca="false">IF(N24="BLOQUEADO",M24,IF(O24&gt;Parâmetros!$B$8,M24*Parâmetros!$B$8,IF(O24&lt;Parâmetros!$B$9,M24*Parâmetros!$B$9,N24)))</f>
        <v>3193.35452352</v>
      </c>
    </row>
    <row r="25" customFormat="false" ht="15" hidden="false" customHeight="false" outlineLevel="0" collapsed="false">
      <c r="A25" s="7" t="s">
        <v>39</v>
      </c>
      <c r="B25" s="7" t="s">
        <v>40</v>
      </c>
      <c r="C25" s="7" t="s">
        <v>32</v>
      </c>
      <c r="D25" s="7" t="s">
        <v>80</v>
      </c>
      <c r="E25" s="7" t="s">
        <v>42</v>
      </c>
      <c r="F25" s="8" t="n">
        <v>250</v>
      </c>
      <c r="G25" s="8" t="n">
        <v>970</v>
      </c>
      <c r="H25" s="9" t="n">
        <v>649518</v>
      </c>
      <c r="I25" s="9" t="n">
        <v>649518</v>
      </c>
      <c r="J25" s="9" t="n">
        <v>246.5</v>
      </c>
      <c r="K25" s="10" t="n">
        <v>3</v>
      </c>
      <c r="L25" s="11" t="n">
        <f aca="false">IF((F25*G25)=0,0,(F25*G25)/Parâmetros!$B$5)</f>
        <v>169.718092998516</v>
      </c>
      <c r="M25" s="11" t="n">
        <f aca="false">(I25/Parâmetros!$B$6)*J25</f>
        <v>9122859.65811966</v>
      </c>
      <c r="N25" s="11" t="n">
        <f aca="false">IF(L25=0,"BLOQUEADO",(H25/L25)*J25*K25)</f>
        <v>2830096.38226491</v>
      </c>
      <c r="O25" s="12" t="n">
        <f aca="false">IF(OR(N25="BLOQUEADO",M25=0),"",N25/M25)</f>
        <v>0.310220313402062</v>
      </c>
      <c r="P25" s="13" t="str">
        <f aca="false">IF(L25=0,"DIM. ZERADA (trava)",IF(K25=0,"AUDIÊNCIA ZERO (trava)",IF(O25="","-",IF(O25&gt;Parâmetros!$B$8,"DISPARO ↑ (cap)",IF(O25&lt;Parâmetros!$B$9,"QUEDA ↓ (piso)",IF(AND(O25&gt;=Parâmetros!$B$11,O25&lt;=Parâmetros!$B$10),"ESTÁVEL","VARIAÇÃO"))))))</f>
        <v>QUEDA ↓ (piso)</v>
      </c>
      <c r="Q25" s="11" t="n">
        <f aca="false">IF(N25="BLOQUEADO",M25,IF(O25&gt;Parâmetros!$B$8,M25*Parâmetros!$B$8,IF(O25&lt;Parâmetros!$B$9,M25*Parâmetros!$B$9,N25)))</f>
        <v>4561429.82905983</v>
      </c>
    </row>
    <row r="26" customFormat="false" ht="15" hidden="false" customHeight="false" outlineLevel="0" collapsed="false">
      <c r="A26" s="7" t="s">
        <v>39</v>
      </c>
      <c r="B26" s="7" t="s">
        <v>40</v>
      </c>
      <c r="C26" s="7" t="s">
        <v>32</v>
      </c>
      <c r="D26" s="7" t="s">
        <v>41</v>
      </c>
      <c r="E26" s="7" t="s">
        <v>73</v>
      </c>
      <c r="F26" s="8" t="n">
        <v>250</v>
      </c>
      <c r="G26" s="8" t="n">
        <v>970</v>
      </c>
      <c r="H26" s="9" t="n">
        <v>115890</v>
      </c>
      <c r="I26" s="9" t="n">
        <v>115890</v>
      </c>
      <c r="J26" s="9" t="n">
        <v>369.1</v>
      </c>
      <c r="K26" s="10" t="n">
        <v>3</v>
      </c>
      <c r="L26" s="11" t="n">
        <f aca="false">IF((F26*G26)=0,0,(F26*G26)/Parâmetros!$B$5)</f>
        <v>169.718092998516</v>
      </c>
      <c r="M26" s="11" t="n">
        <f aca="false">(I26/Parâmetros!$B$6)*J26</f>
        <v>2437321.88034188</v>
      </c>
      <c r="N26" s="11" t="n">
        <f aca="false">IF(L26=0,"BLOQUEADO",(H26/L26)*J26*K26)</f>
        <v>756106.757581361</v>
      </c>
      <c r="O26" s="12" t="n">
        <f aca="false">IF(OR(N26="BLOQUEADO",M26=0),"",N26/M26)</f>
        <v>0.310220313402062</v>
      </c>
      <c r="P26" s="13" t="str">
        <f aca="false">IF(L26=0,"DIM. ZERADA (trava)",IF(K26=0,"AUDIÊNCIA ZERO (trava)",IF(O26="","-",IF(O26&gt;Parâmetros!$B$8,"DISPARO ↑ (cap)",IF(O26&lt;Parâmetros!$B$9,"QUEDA ↓ (piso)",IF(AND(O26&gt;=Parâmetros!$B$11,O26&lt;=Parâmetros!$B$10),"ESTÁVEL","VARIAÇÃO"))))))</f>
        <v>QUEDA ↓ (piso)</v>
      </c>
      <c r="Q26" s="11" t="n">
        <f aca="false">IF(N26="BLOQUEADO",M26,IF(O26&gt;Parâmetros!$B$8,M26*Parâmetros!$B$8,IF(O26&lt;Parâmetros!$B$9,M26*Parâmetros!$B$9,N26)))</f>
        <v>1218660.94017094</v>
      </c>
    </row>
    <row r="27" customFormat="false" ht="15" hidden="false" customHeight="false" outlineLevel="0" collapsed="false">
      <c r="A27" s="7" t="s">
        <v>50</v>
      </c>
      <c r="B27" s="7" t="s">
        <v>51</v>
      </c>
      <c r="C27" s="7" t="s">
        <v>59</v>
      </c>
      <c r="D27" s="7" t="s">
        <v>53</v>
      </c>
      <c r="E27" s="7" t="s">
        <v>42</v>
      </c>
      <c r="F27" s="8" t="n">
        <v>250</v>
      </c>
      <c r="G27" s="8" t="n">
        <v>970</v>
      </c>
      <c r="H27" s="9" t="n">
        <v>60000</v>
      </c>
      <c r="I27" s="9" t="n">
        <v>60000</v>
      </c>
      <c r="J27" s="9" t="n">
        <v>105.3</v>
      </c>
      <c r="K27" s="10" t="n">
        <v>3</v>
      </c>
      <c r="L27" s="11" t="n">
        <f aca="false">IF((F27*G27)=0,0,(F27*G27)/Parâmetros!$B$5)</f>
        <v>169.718092998516</v>
      </c>
      <c r="M27" s="11" t="n">
        <f aca="false">(I27/Parâmetros!$B$6)*J27</f>
        <v>360000</v>
      </c>
      <c r="N27" s="11" t="n">
        <f aca="false">IF(L27=0,"BLOQUEADO",(H27/L27)*J27*K27)</f>
        <v>111679.312824742</v>
      </c>
      <c r="O27" s="12" t="n">
        <f aca="false">IF(OR(N27="BLOQUEADO",M27=0),"",N27/M27)</f>
        <v>0.310220313402062</v>
      </c>
      <c r="P27" s="13" t="str">
        <f aca="false">IF(L27=0,"DIM. ZERADA (trava)",IF(K27=0,"AUDIÊNCIA ZERO (trava)",IF(O27="","-",IF(O27&gt;Parâmetros!$B$8,"DISPARO ↑ (cap)",IF(O27&lt;Parâmetros!$B$9,"QUEDA ↓ (piso)",IF(AND(O27&gt;=Parâmetros!$B$11,O27&lt;=Parâmetros!$B$10),"ESTÁVEL","VARIAÇÃO"))))))</f>
        <v>QUEDA ↓ (piso)</v>
      </c>
      <c r="Q27" s="11" t="n">
        <f aca="false">IF(N27="BLOQUEADO",M27,IF(O27&gt;Parâmetros!$B$8,M27*Parâmetros!$B$8,IF(O27&lt;Parâmetros!$B$9,M27*Parâmetros!$B$9,N27)))</f>
        <v>180000</v>
      </c>
    </row>
    <row r="28" customFormat="false" ht="15" hidden="false" customHeight="false" outlineLevel="0" collapsed="false">
      <c r="A28" s="7" t="s">
        <v>63</v>
      </c>
      <c r="B28" s="7" t="s">
        <v>64</v>
      </c>
      <c r="C28" s="7" t="s">
        <v>56</v>
      </c>
      <c r="D28" s="7" t="s">
        <v>81</v>
      </c>
      <c r="E28" s="7" t="s">
        <v>82</v>
      </c>
      <c r="F28" s="8" t="n">
        <v>150</v>
      </c>
      <c r="G28" s="8" t="n">
        <v>300</v>
      </c>
      <c r="H28" s="9" t="n">
        <v>7</v>
      </c>
      <c r="I28" s="9" t="n">
        <v>7</v>
      </c>
      <c r="J28" s="9" t="n">
        <v>238</v>
      </c>
      <c r="K28" s="10" t="n">
        <v>3</v>
      </c>
      <c r="L28" s="11" t="n">
        <f aca="false">IF((F28*G28)=0,0,(F28*G28)/Parâmetros!$B$5)</f>
        <v>31.4940791131267</v>
      </c>
      <c r="M28" s="11" t="n">
        <f aca="false">(I28/Parâmetros!$B$6)*J28</f>
        <v>94.9287749287749</v>
      </c>
      <c r="N28" s="11" t="n">
        <f aca="false">IF(L28=0,"BLOQUEADO",(H28/L28)*J28*K28)</f>
        <v>158.696496</v>
      </c>
      <c r="O28" s="12" t="n">
        <f aca="false">IF(OR(N28="BLOQUEADO",M28=0),"",N28/M28)</f>
        <v>1.6717428</v>
      </c>
      <c r="P28" s="13" t="str">
        <f aca="false">IF(L28=0,"DIM. ZERADA (trava)",IF(K28=0,"AUDIÊNCIA ZERO (trava)",IF(O28="","-",IF(O28&gt;Parâmetros!$B$8,"DISPARO ↑ (cap)",IF(O28&lt;Parâmetros!$B$9,"QUEDA ↓ (piso)",IF(AND(O28&gt;=Parâmetros!$B$11,O28&lt;=Parâmetros!$B$10),"ESTÁVEL","VARIAÇÃO"))))))</f>
        <v>VARIAÇÃO</v>
      </c>
      <c r="Q28" s="11" t="n">
        <f aca="false">IF(N28="BLOQUEADO",M28,IF(O28&gt;Parâmetros!$B$8,M28*Parâmetros!$B$8,IF(O28&lt;Parâmetros!$B$9,M28*Parâmetros!$B$9,N28)))</f>
        <v>158.696496</v>
      </c>
    </row>
    <row r="29" customFormat="false" ht="15" hidden="false" customHeight="false" outlineLevel="0" collapsed="false">
      <c r="A29" s="7" t="s">
        <v>39</v>
      </c>
      <c r="B29" s="7" t="s">
        <v>40</v>
      </c>
      <c r="C29" s="7" t="s">
        <v>32</v>
      </c>
      <c r="D29" s="7" t="s">
        <v>78</v>
      </c>
      <c r="E29" s="7" t="s">
        <v>73</v>
      </c>
      <c r="F29" s="8" t="n">
        <v>85</v>
      </c>
      <c r="G29" s="8" t="n">
        <v>220</v>
      </c>
      <c r="H29" s="9" t="n">
        <v>296481</v>
      </c>
      <c r="I29" s="9" t="n">
        <v>296481</v>
      </c>
      <c r="J29" s="9" t="n">
        <v>315.1</v>
      </c>
      <c r="K29" s="10" t="n">
        <v>3</v>
      </c>
      <c r="L29" s="11" t="n">
        <f aca="false">IF((F29*G29)=0,0,(F29*G29)/Parâmetros!$B$5)</f>
        <v>13.087539542566</v>
      </c>
      <c r="M29" s="11" t="n">
        <f aca="false">(I29/Parâmetros!$B$6)*J29</f>
        <v>5323143.1965812</v>
      </c>
      <c r="N29" s="11" t="n">
        <f aca="false">IF(L29=0,"BLOQUEADO",(H29/L29)*J29*K29)</f>
        <v>21414528.558899</v>
      </c>
      <c r="O29" s="12" t="n">
        <f aca="false">IF(OR(N29="BLOQUEADO",M29=0),"",N29/M29)</f>
        <v>4.02291048128342</v>
      </c>
      <c r="P29" s="13" t="str">
        <f aca="false">IF(L29=0,"DIM. ZERADA (trava)",IF(K29=0,"AUDIÊNCIA ZERO (trava)",IF(O29="","-",IF(O29&gt;Parâmetros!$B$8,"DISPARO ↑ (cap)",IF(O29&lt;Parâmetros!$B$9,"QUEDA ↓ (piso)",IF(AND(O29&gt;=Parâmetros!$B$11,O29&lt;=Parâmetros!$B$10),"ESTÁVEL","VARIAÇÃO"))))))</f>
        <v>DISPARO ↑ (cap)</v>
      </c>
      <c r="Q29" s="11" t="n">
        <f aca="false">IF(N29="BLOQUEADO",M29,IF(O29&gt;Parâmetros!$B$8,M29*Parâmetros!$B$8,IF(O29&lt;Parâmetros!$B$9,M29*Parâmetros!$B$9,N29)))</f>
        <v>10646286.3931624</v>
      </c>
    </row>
    <row r="30" customFormat="false" ht="15" hidden="false" customHeight="false" outlineLevel="0" collapsed="false">
      <c r="A30" s="7" t="s">
        <v>83</v>
      </c>
      <c r="B30" s="7" t="s">
        <v>84</v>
      </c>
      <c r="C30" s="7" t="s">
        <v>56</v>
      </c>
      <c r="D30" s="7" t="s">
        <v>85</v>
      </c>
      <c r="E30" s="7" t="s">
        <v>34</v>
      </c>
      <c r="F30" s="8" t="n">
        <v>0</v>
      </c>
      <c r="G30" s="8" t="n">
        <v>0</v>
      </c>
      <c r="H30" s="9" t="n">
        <v>9</v>
      </c>
      <c r="I30" s="9" t="n">
        <v>9</v>
      </c>
      <c r="J30" s="9" t="n">
        <v>287.5</v>
      </c>
      <c r="K30" s="10" t="n">
        <v>1.25</v>
      </c>
      <c r="L30" s="11" t="n">
        <f aca="false">IF((F30*G30)=0,0,(F30*G30)/Parâmetros!$B$5)</f>
        <v>0</v>
      </c>
      <c r="M30" s="11" t="n">
        <f aca="false">(I30/Parâmetros!$B$6)*J30</f>
        <v>147.435897435897</v>
      </c>
      <c r="N30" s="11" t="str">
        <f aca="false">IF(L30=0,"BLOQUEADO",(H30/L30)*J30*K30)</f>
        <v>BLOQUEADO</v>
      </c>
      <c r="O30" s="12" t="str">
        <f aca="false">IF(OR(N30="BLOQUEADO",M30=0),"",N30/M30)</f>
        <v/>
      </c>
      <c r="P30" s="13" t="str">
        <f aca="false">IF(L30=0,"DIM. ZERADA (trava)",IF(K30=0,"AUDIÊNCIA ZERO (trava)",IF(O30="","-",IF(O30&gt;Parâmetros!$B$8,"DISPARO ↑ (cap)",IF(O30&lt;Parâmetros!$B$9,"QUEDA ↓ (piso)",IF(AND(O30&gt;=Parâmetros!$B$11,O30&lt;=Parâmetros!$B$10),"ESTÁVEL","VARIAÇÃO"))))))</f>
        <v>DIM. ZERADA (trava)</v>
      </c>
      <c r="Q30" s="11" t="n">
        <f aca="false">IF(N30="BLOQUEADO",M30,IF(O30&gt;Parâmetros!$B$8,M30*Parâmetros!$B$8,IF(O30&lt;Parâmetros!$B$9,M30*Parâmetros!$B$9,N30)))</f>
        <v>147.435897435897</v>
      </c>
    </row>
    <row r="31" customFormat="false" ht="15" hidden="false" customHeight="false" outlineLevel="0" collapsed="false">
      <c r="A31" s="7" t="s">
        <v>86</v>
      </c>
      <c r="B31" s="7" t="s">
        <v>87</v>
      </c>
      <c r="C31" s="7" t="s">
        <v>56</v>
      </c>
      <c r="D31" s="7" t="s">
        <v>88</v>
      </c>
      <c r="E31" s="7" t="s">
        <v>34</v>
      </c>
      <c r="F31" s="8" t="n">
        <v>0</v>
      </c>
      <c r="G31" s="8" t="n">
        <v>0</v>
      </c>
      <c r="H31" s="9" t="n">
        <v>60.5</v>
      </c>
      <c r="I31" s="9" t="n">
        <v>60.5</v>
      </c>
      <c r="J31" s="9" t="n">
        <v>219</v>
      </c>
      <c r="K31" s="10" t="n">
        <v>3</v>
      </c>
      <c r="L31" s="11" t="n">
        <f aca="false">IF((F31*G31)=0,0,(F31*G31)/Parâmetros!$B$5)</f>
        <v>0</v>
      </c>
      <c r="M31" s="11" t="n">
        <f aca="false">(I31/Parâmetros!$B$6)*J31</f>
        <v>754.957264957265</v>
      </c>
      <c r="N31" s="11" t="str">
        <f aca="false">IF(L31=0,"BLOQUEADO",(H31/L31)*J31*K31)</f>
        <v>BLOQUEADO</v>
      </c>
      <c r="O31" s="12" t="str">
        <f aca="false">IF(OR(N31="BLOQUEADO",M31=0),"",N31/M31)</f>
        <v/>
      </c>
      <c r="P31" s="13" t="str">
        <f aca="false">IF(L31=0,"DIM. ZERADA (trava)",IF(K31=0,"AUDIÊNCIA ZERO (trava)",IF(O31="","-",IF(O31&gt;Parâmetros!$B$8,"DISPARO ↑ (cap)",IF(O31&lt;Parâmetros!$B$9,"QUEDA ↓ (piso)",IF(AND(O31&gt;=Parâmetros!$B$11,O31&lt;=Parâmetros!$B$10),"ESTÁVEL","VARIAÇÃO"))))))</f>
        <v>DIM. ZERADA (trava)</v>
      </c>
      <c r="Q31" s="11" t="n">
        <f aca="false">IF(N31="BLOQUEADO",M31,IF(O31&gt;Parâmetros!$B$8,M31*Parâmetros!$B$8,IF(O31&lt;Parâmetros!$B$9,M31*Parâmetros!$B$9,N31)))</f>
        <v>754.957264957265</v>
      </c>
    </row>
    <row r="32" customFormat="false" ht="15" hidden="false" customHeight="false" outlineLevel="0" collapsed="false">
      <c r="A32" s="7" t="s">
        <v>89</v>
      </c>
      <c r="B32" s="7" t="s">
        <v>90</v>
      </c>
      <c r="C32" s="7" t="s">
        <v>56</v>
      </c>
      <c r="D32" s="7" t="s">
        <v>91</v>
      </c>
      <c r="E32" s="7" t="s">
        <v>34</v>
      </c>
      <c r="F32" s="8" t="n">
        <v>0</v>
      </c>
      <c r="G32" s="8" t="n">
        <v>0</v>
      </c>
      <c r="H32" s="9" t="n">
        <v>25</v>
      </c>
      <c r="I32" s="9" t="n">
        <v>25</v>
      </c>
      <c r="J32" s="9" t="n">
        <v>129.6</v>
      </c>
      <c r="K32" s="10" t="n">
        <v>3</v>
      </c>
      <c r="L32" s="11" t="n">
        <f aca="false">IF((F32*G32)=0,0,(F32*G32)/Parâmetros!$B$5)</f>
        <v>0</v>
      </c>
      <c r="M32" s="11" t="n">
        <f aca="false">(I32/Parâmetros!$B$6)*J32</f>
        <v>184.615384615385</v>
      </c>
      <c r="N32" s="11" t="str">
        <f aca="false">IF(L32=0,"BLOQUEADO",(H32/L32)*J32*K32)</f>
        <v>BLOQUEADO</v>
      </c>
      <c r="O32" s="12" t="str">
        <f aca="false">IF(OR(N32="BLOQUEADO",M32=0),"",N32/M32)</f>
        <v/>
      </c>
      <c r="P32" s="13" t="str">
        <f aca="false">IF(L32=0,"DIM. ZERADA (trava)",IF(K32=0,"AUDIÊNCIA ZERO (trava)",IF(O32="","-",IF(O32&gt;Parâmetros!$B$8,"DISPARO ↑ (cap)",IF(O32&lt;Parâmetros!$B$9,"QUEDA ↓ (piso)",IF(AND(O32&gt;=Parâmetros!$B$11,O32&lt;=Parâmetros!$B$10),"ESTÁVEL","VARIAÇÃO"))))))</f>
        <v>DIM. ZERADA (trava)</v>
      </c>
      <c r="Q32" s="11" t="n">
        <f aca="false">IF(N32="BLOQUEADO",M32,IF(O32&gt;Parâmetros!$B$8,M32*Parâmetros!$B$8,IF(O32&lt;Parâmetros!$B$9,M32*Parâmetros!$B$9,N32)))</f>
        <v>184.615384615385</v>
      </c>
    </row>
    <row r="33" customFormat="false" ht="15" hidden="false" customHeight="false" outlineLevel="0" collapsed="false">
      <c r="A33" s="7" t="s">
        <v>86</v>
      </c>
      <c r="B33" s="7" t="s">
        <v>87</v>
      </c>
      <c r="C33" s="7" t="s">
        <v>92</v>
      </c>
      <c r="D33" s="7" t="s">
        <v>93</v>
      </c>
      <c r="E33" s="7" t="s">
        <v>44</v>
      </c>
      <c r="F33" s="8" t="n">
        <v>0</v>
      </c>
      <c r="G33" s="8" t="n">
        <v>0</v>
      </c>
      <c r="H33" s="9" t="n">
        <v>617500</v>
      </c>
      <c r="I33" s="9" t="n">
        <v>617500</v>
      </c>
      <c r="J33" s="9" t="n">
        <v>226.9</v>
      </c>
      <c r="K33" s="10" t="n">
        <v>3</v>
      </c>
      <c r="L33" s="11" t="n">
        <f aca="false">IF((F33*G33)=0,0,(F33*G33)/Parâmetros!$B$5)</f>
        <v>0</v>
      </c>
      <c r="M33" s="11" t="n">
        <f aca="false">(I33/Parâmetros!$B$6)*J33</f>
        <v>7983518.51851852</v>
      </c>
      <c r="N33" s="11" t="str">
        <f aca="false">IF(L33=0,"BLOQUEADO",(H33/L33)*J33*K33)</f>
        <v>BLOQUEADO</v>
      </c>
      <c r="O33" s="12" t="str">
        <f aca="false">IF(OR(N33="BLOQUEADO",M33=0),"",N33/M33)</f>
        <v/>
      </c>
      <c r="P33" s="13" t="str">
        <f aca="false">IF(L33=0,"DIM. ZERADA (trava)",IF(K33=0,"AUDIÊNCIA ZERO (trava)",IF(O33="","-",IF(O33&gt;Parâmetros!$B$8,"DISPARO ↑ (cap)",IF(O33&lt;Parâmetros!$B$9,"QUEDA ↓ (piso)",IF(AND(O33&gt;=Parâmetros!$B$11,O33&lt;=Parâmetros!$B$10),"ESTÁVEL","VARIAÇÃO"))))))</f>
        <v>DIM. ZERADA (trava)</v>
      </c>
      <c r="Q33" s="11" t="n">
        <f aca="false">IF(N33="BLOQUEADO",M33,IF(O33&gt;Parâmetros!$B$8,M33*Parâmetros!$B$8,IF(O33&lt;Parâmetros!$B$9,M33*Parâmetros!$B$9,N33)))</f>
        <v>7983518.51851852</v>
      </c>
    </row>
    <row r="34" customFormat="false" ht="15" hidden="false" customHeight="false" outlineLevel="0" collapsed="false">
      <c r="A34" s="7" t="s">
        <v>94</v>
      </c>
      <c r="B34" s="7" t="s">
        <v>95</v>
      </c>
      <c r="C34" s="7" t="s">
        <v>32</v>
      </c>
      <c r="D34" s="7" t="s">
        <v>96</v>
      </c>
      <c r="E34" s="7" t="s">
        <v>97</v>
      </c>
      <c r="F34" s="8" t="n">
        <v>0</v>
      </c>
      <c r="G34" s="8" t="n">
        <v>0</v>
      </c>
      <c r="H34" s="9" t="n">
        <v>3100</v>
      </c>
      <c r="I34" s="9" t="n">
        <v>3100</v>
      </c>
      <c r="J34" s="9" t="n">
        <v>186.6</v>
      </c>
      <c r="K34" s="10" t="n">
        <v>0.92</v>
      </c>
      <c r="L34" s="11" t="n">
        <f aca="false">IF((F34*G34)=0,0,(F34*G34)/Parâmetros!$B$5)</f>
        <v>0</v>
      </c>
      <c r="M34" s="11" t="n">
        <f aca="false">(I34/Parâmetros!$B$6)*J34</f>
        <v>32960.6837606838</v>
      </c>
      <c r="N34" s="11" t="str">
        <f aca="false">IF(L34=0,"BLOQUEADO",(H34/L34)*J34*K34)</f>
        <v>BLOQUEADO</v>
      </c>
      <c r="O34" s="12" t="str">
        <f aca="false">IF(OR(N34="BLOQUEADO",M34=0),"",N34/M34)</f>
        <v/>
      </c>
      <c r="P34" s="13" t="str">
        <f aca="false">IF(L34=0,"DIM. ZERADA (trava)",IF(K34=0,"AUDIÊNCIA ZERO (trava)",IF(O34="","-",IF(O34&gt;Parâmetros!$B$8,"DISPARO ↑ (cap)",IF(O34&lt;Parâmetros!$B$9,"QUEDA ↓ (piso)",IF(AND(O34&gt;=Parâmetros!$B$11,O34&lt;=Parâmetros!$B$10),"ESTÁVEL","VARIAÇÃO"))))))</f>
        <v>DIM. ZERADA (trava)</v>
      </c>
      <c r="Q34" s="11" t="n">
        <f aca="false">IF(N34="BLOQUEADO",M34,IF(O34&gt;Parâmetros!$B$8,M34*Parâmetros!$B$8,IF(O34&lt;Parâmetros!$B$9,M34*Parâmetros!$B$9,N34)))</f>
        <v>32960.6837606838</v>
      </c>
    </row>
    <row r="35" customFormat="false" ht="15" hidden="false" customHeight="false" outlineLevel="0" collapsed="false">
      <c r="A35" s="7" t="s">
        <v>98</v>
      </c>
      <c r="B35" s="7" t="s">
        <v>84</v>
      </c>
      <c r="C35" s="7" t="s">
        <v>99</v>
      </c>
      <c r="D35" s="7" t="s">
        <v>85</v>
      </c>
      <c r="E35" s="7" t="s">
        <v>34</v>
      </c>
      <c r="F35" s="8" t="n">
        <v>0</v>
      </c>
      <c r="G35" s="8" t="n">
        <v>0</v>
      </c>
      <c r="H35" s="9" t="n">
        <v>9</v>
      </c>
      <c r="I35" s="9" t="n">
        <v>9</v>
      </c>
      <c r="J35" s="9" t="n">
        <v>222.3</v>
      </c>
      <c r="K35" s="10" t="n">
        <v>1.25</v>
      </c>
      <c r="L35" s="11" t="n">
        <f aca="false">IF((F35*G35)=0,0,(F35*G35)/Parâmetros!$B$5)</f>
        <v>0</v>
      </c>
      <c r="M35" s="11" t="n">
        <f aca="false">(I35/Parâmetros!$B$6)*J35</f>
        <v>114</v>
      </c>
      <c r="N35" s="11" t="str">
        <f aca="false">IF(L35=0,"BLOQUEADO",(H35/L35)*J35*K35)</f>
        <v>BLOQUEADO</v>
      </c>
      <c r="O35" s="12" t="str">
        <f aca="false">IF(OR(N35="BLOQUEADO",M35=0),"",N35/M35)</f>
        <v/>
      </c>
      <c r="P35" s="13" t="str">
        <f aca="false">IF(L35=0,"DIM. ZERADA (trava)",IF(K35=0,"AUDIÊNCIA ZERO (trava)",IF(O35="","-",IF(O35&gt;Parâmetros!$B$8,"DISPARO ↑ (cap)",IF(O35&lt;Parâmetros!$B$9,"QUEDA ↓ (piso)",IF(AND(O35&gt;=Parâmetros!$B$11,O35&lt;=Parâmetros!$B$10),"ESTÁVEL","VARIAÇÃO"))))))</f>
        <v>DIM. ZERADA (trava)</v>
      </c>
      <c r="Q35" s="11" t="n">
        <f aca="false">IF(N35="BLOQUEADO",M35,IF(O35&gt;Parâmetros!$B$8,M35*Parâmetros!$B$8,IF(O35&lt;Parâmetros!$B$9,M35*Parâmetros!$B$9,N35)))</f>
        <v>114</v>
      </c>
    </row>
    <row r="36" customFormat="false" ht="15" hidden="false" customHeight="false" outlineLevel="0" collapsed="false">
      <c r="A36" s="7" t="s">
        <v>100</v>
      </c>
      <c r="B36" s="7" t="s">
        <v>101</v>
      </c>
      <c r="C36" s="7" t="s">
        <v>32</v>
      </c>
      <c r="D36" s="7" t="s">
        <v>102</v>
      </c>
      <c r="E36" s="7" t="s">
        <v>34</v>
      </c>
      <c r="F36" s="8" t="n">
        <v>0</v>
      </c>
      <c r="G36" s="8" t="n">
        <v>0</v>
      </c>
      <c r="H36" s="9" t="n">
        <v>108</v>
      </c>
      <c r="I36" s="9" t="n">
        <v>108</v>
      </c>
      <c r="J36" s="9" t="n">
        <v>184.4</v>
      </c>
      <c r="K36" s="10" t="n">
        <v>1.33</v>
      </c>
      <c r="L36" s="11" t="n">
        <f aca="false">IF((F36*G36)=0,0,(F36*G36)/Parâmetros!$B$5)</f>
        <v>0</v>
      </c>
      <c r="M36" s="11" t="n">
        <f aca="false">(I36/Parâmetros!$B$6)*J36</f>
        <v>1134.76923076923</v>
      </c>
      <c r="N36" s="11" t="str">
        <f aca="false">IF(L36=0,"BLOQUEADO",(H36/L36)*J36*K36)</f>
        <v>BLOQUEADO</v>
      </c>
      <c r="O36" s="12" t="str">
        <f aca="false">IF(OR(N36="BLOQUEADO",M36=0),"",N36/M36)</f>
        <v/>
      </c>
      <c r="P36" s="13" t="str">
        <f aca="false">IF(L36=0,"DIM. ZERADA (trava)",IF(K36=0,"AUDIÊNCIA ZERO (trava)",IF(O36="","-",IF(O36&gt;Parâmetros!$B$8,"DISPARO ↑ (cap)",IF(O36&lt;Parâmetros!$B$9,"QUEDA ↓ (piso)",IF(AND(O36&gt;=Parâmetros!$B$11,O36&lt;=Parâmetros!$B$10),"ESTÁVEL","VARIAÇÃO"))))))</f>
        <v>DIM. ZERADA (trava)</v>
      </c>
      <c r="Q36" s="11" t="n">
        <f aca="false">IF(N36="BLOQUEADO",M36,IF(O36&gt;Parâmetros!$B$8,M36*Parâmetros!$B$8,IF(O36&lt;Parâmetros!$B$9,M36*Parâmetros!$B$9,N36)))</f>
        <v>1134.76923076923</v>
      </c>
    </row>
    <row r="37" customFormat="false" ht="15" hidden="false" customHeight="false" outlineLevel="0" collapsed="false">
      <c r="A37" s="7" t="s">
        <v>103</v>
      </c>
      <c r="B37" s="7" t="s">
        <v>104</v>
      </c>
      <c r="C37" s="7" t="s">
        <v>105</v>
      </c>
      <c r="D37" s="7" t="s">
        <v>106</v>
      </c>
      <c r="E37" s="7" t="s">
        <v>107</v>
      </c>
      <c r="F37" s="8" t="n">
        <v>0</v>
      </c>
      <c r="G37" s="8" t="n">
        <v>0</v>
      </c>
      <c r="H37" s="9" t="n">
        <v>9375</v>
      </c>
      <c r="I37" s="9" t="n">
        <v>9375</v>
      </c>
      <c r="J37" s="9" t="n">
        <v>344.9</v>
      </c>
      <c r="K37" s="10" t="n">
        <v>3</v>
      </c>
      <c r="L37" s="11" t="n">
        <f aca="false">IF((F37*G37)=0,0,(F37*G37)/Parâmetros!$B$5)</f>
        <v>0</v>
      </c>
      <c r="M37" s="11" t="n">
        <f aca="false">(I37/Parâmetros!$B$6)*J37</f>
        <v>184241.452991453</v>
      </c>
      <c r="N37" s="11" t="str">
        <f aca="false">IF(L37=0,"BLOQUEADO",(H37/L37)*J37*K37)</f>
        <v>BLOQUEADO</v>
      </c>
      <c r="O37" s="12" t="str">
        <f aca="false">IF(OR(N37="BLOQUEADO",M37=0),"",N37/M37)</f>
        <v/>
      </c>
      <c r="P37" s="13" t="str">
        <f aca="false">IF(L37=0,"DIM. ZERADA (trava)",IF(K37=0,"AUDIÊNCIA ZERO (trava)",IF(O37="","-",IF(O37&gt;Parâmetros!$B$8,"DISPARO ↑ (cap)",IF(O37&lt;Parâmetros!$B$9,"QUEDA ↓ (piso)",IF(AND(O37&gt;=Parâmetros!$B$11,O37&lt;=Parâmetros!$B$10),"ESTÁVEL","VARIAÇÃO"))))))</f>
        <v>DIM. ZERADA (trava)</v>
      </c>
      <c r="Q37" s="11" t="n">
        <f aca="false">IF(N37="BLOQUEADO",M37,IF(O37&gt;Parâmetros!$B$8,M37*Parâmetros!$B$8,IF(O37&lt;Parâmetros!$B$9,M37*Parâmetros!$B$9,N37)))</f>
        <v>184241.452991453</v>
      </c>
    </row>
    <row r="38" customFormat="false" ht="15" hidden="false" customHeight="false" outlineLevel="0" collapsed="false">
      <c r="A38" s="7" t="s">
        <v>108</v>
      </c>
      <c r="B38" s="7" t="s">
        <v>109</v>
      </c>
      <c r="C38" s="7" t="s">
        <v>56</v>
      </c>
      <c r="D38" s="7" t="s">
        <v>110</v>
      </c>
      <c r="E38" s="7" t="s">
        <v>34</v>
      </c>
      <c r="F38" s="8" t="n">
        <v>20</v>
      </c>
      <c r="G38" s="8" t="n">
        <v>120</v>
      </c>
      <c r="H38" s="9" t="n">
        <v>85.9</v>
      </c>
      <c r="I38" s="9" t="n">
        <v>85.9</v>
      </c>
      <c r="J38" s="9" t="n">
        <v>321.3</v>
      </c>
      <c r="K38" s="10" t="n">
        <v>1.67</v>
      </c>
      <c r="L38" s="11" t="n">
        <f aca="false">IF((F38*G38)=0,0,(F38*G38)/Parâmetros!$B$5)</f>
        <v>1.67968421936676</v>
      </c>
      <c r="M38" s="11" t="n">
        <f aca="false">(I38/Parâmetros!$B$6)*J38</f>
        <v>1572.63076923077</v>
      </c>
      <c r="N38" s="11" t="n">
        <f aca="false">IF(L38=0,"BLOQUEADO",(H38/L38)*J38*K38)</f>
        <v>27440.544102615</v>
      </c>
      <c r="O38" s="12" t="n">
        <f aca="false">IF(OR(N38="BLOQUEADO",M38=0),"",N38/M38)</f>
        <v>17.448815475</v>
      </c>
      <c r="P38" s="13" t="str">
        <f aca="false">IF(L38=0,"DIM. ZERADA (trava)",IF(K38=0,"AUDIÊNCIA ZERO (trava)",IF(O38="","-",IF(O38&gt;Parâmetros!$B$8,"DISPARO ↑ (cap)",IF(O38&lt;Parâmetros!$B$9,"QUEDA ↓ (piso)",IF(AND(O38&gt;=Parâmetros!$B$11,O38&lt;=Parâmetros!$B$10),"ESTÁVEL","VARIAÇÃO"))))))</f>
        <v>DISPARO ↑ (cap)</v>
      </c>
      <c r="Q38" s="11" t="n">
        <f aca="false">IF(N38="BLOQUEADO",M38,IF(O38&gt;Parâmetros!$B$8,M38*Parâmetros!$B$8,IF(O38&lt;Parâmetros!$B$9,M38*Parâmetros!$B$9,N38)))</f>
        <v>3145.26153846154</v>
      </c>
    </row>
    <row r="39" customFormat="false" ht="15" hidden="false" customHeight="false" outlineLevel="0" collapsed="false">
      <c r="A39" s="7" t="s">
        <v>111</v>
      </c>
      <c r="B39" s="7" t="s">
        <v>112</v>
      </c>
      <c r="C39" s="7" t="s">
        <v>32</v>
      </c>
      <c r="D39" s="7" t="s">
        <v>113</v>
      </c>
      <c r="E39" s="7" t="s">
        <v>44</v>
      </c>
      <c r="F39" s="8" t="n">
        <v>1</v>
      </c>
      <c r="G39" s="8" t="n">
        <v>1</v>
      </c>
      <c r="H39" s="9" t="n">
        <v>17538</v>
      </c>
      <c r="I39" s="9" t="n">
        <v>17538</v>
      </c>
      <c r="J39" s="9" t="n">
        <v>166.8</v>
      </c>
      <c r="K39" s="10" t="n">
        <v>1</v>
      </c>
      <c r="L39" s="11" t="n">
        <f aca="false">IF((F39*G39)=0,0,(F39*G39)/Parâmetros!$B$5)</f>
        <v>0.00069986842473615</v>
      </c>
      <c r="M39" s="11" t="n">
        <f aca="false">(I39/Parâmetros!$B$6)*J39</f>
        <v>166685.948717949</v>
      </c>
      <c r="N39" s="11" t="n">
        <f aca="false">IF(L39=0,"BLOQUEADO",(H39/L39)*J39*K39)</f>
        <v>4179840519.456</v>
      </c>
      <c r="O39" s="12" t="n">
        <f aca="false">IF(OR(N39="BLOQUEADO",M39=0),"",N39/M39)</f>
        <v>25076.142</v>
      </c>
      <c r="P39" s="13" t="str">
        <f aca="false">IF(L39=0,"DIM. ZERADA (trava)",IF(K39=0,"AUDIÊNCIA ZERO (trava)",IF(O39="","-",IF(O39&gt;Parâmetros!$B$8,"DISPARO ↑ (cap)",IF(O39&lt;Parâmetros!$B$9,"QUEDA ↓ (piso)",IF(AND(O39&gt;=Parâmetros!$B$11,O39&lt;=Parâmetros!$B$10),"ESTÁVEL","VARIAÇÃO"))))))</f>
        <v>DISPARO ↑ (cap)</v>
      </c>
      <c r="Q39" s="11" t="n">
        <f aca="false">IF(N39="BLOQUEADO",M39,IF(O39&gt;Parâmetros!$B$8,M39*Parâmetros!$B$8,IF(O39&lt;Parâmetros!$B$9,M39*Parâmetros!$B$9,N39)))</f>
        <v>333371.897435897</v>
      </c>
    </row>
    <row r="40" customFormat="false" ht="15" hidden="false" customHeight="false" outlineLevel="0" collapsed="false">
      <c r="A40" s="7" t="s">
        <v>108</v>
      </c>
      <c r="B40" s="7" t="s">
        <v>109</v>
      </c>
      <c r="C40" s="7" t="s">
        <v>56</v>
      </c>
      <c r="D40" s="7" t="s">
        <v>110</v>
      </c>
      <c r="E40" s="7" t="s">
        <v>97</v>
      </c>
      <c r="F40" s="8" t="n">
        <v>20</v>
      </c>
      <c r="G40" s="8" t="n">
        <v>120</v>
      </c>
      <c r="H40" s="9" t="n">
        <v>7850</v>
      </c>
      <c r="I40" s="9" t="n">
        <v>7850</v>
      </c>
      <c r="J40" s="9" t="n">
        <v>254.7</v>
      </c>
      <c r="K40" s="10" t="n">
        <v>1.67</v>
      </c>
      <c r="L40" s="11" t="n">
        <f aca="false">IF((F40*G40)=0,0,(F40*G40)/Parâmetros!$B$5)</f>
        <v>1.67968421936676</v>
      </c>
      <c r="M40" s="11" t="n">
        <f aca="false">(I40/Parâmetros!$B$6)*J40</f>
        <v>113925.641025641</v>
      </c>
      <c r="N40" s="11" t="n">
        <f aca="false">IF(L40=0,"BLOQUEADO",(H40/L40)*J40*K40)</f>
        <v>1987867.4881275</v>
      </c>
      <c r="O40" s="12" t="n">
        <f aca="false">IF(OR(N40="BLOQUEADO",M40=0),"",N40/M40)</f>
        <v>17.448815475</v>
      </c>
      <c r="P40" s="13" t="str">
        <f aca="false">IF(L40=0,"DIM. ZERADA (trava)",IF(K40=0,"AUDIÊNCIA ZERO (trava)",IF(O40="","-",IF(O40&gt;Parâmetros!$B$8,"DISPARO ↑ (cap)",IF(O40&lt;Parâmetros!$B$9,"QUEDA ↓ (piso)",IF(AND(O40&gt;=Parâmetros!$B$11,O40&lt;=Parâmetros!$B$10),"ESTÁVEL","VARIAÇÃO"))))))</f>
        <v>DISPARO ↑ (cap)</v>
      </c>
      <c r="Q40" s="11" t="n">
        <f aca="false">IF(N40="BLOQUEADO",M40,IF(O40&gt;Parâmetros!$B$8,M40*Parâmetros!$B$8,IF(O40&lt;Parâmetros!$B$9,M40*Parâmetros!$B$9,N40)))</f>
        <v>227851.282051282</v>
      </c>
    </row>
  </sheetData>
  <autoFilter ref="A1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3" t="s">
        <v>116</v>
      </c>
      <c r="B4" s="3"/>
    </row>
    <row r="5" customFormat="false" ht="15" hidden="false" customHeight="false" outlineLevel="0" collapsed="false">
      <c r="A5" s="4" t="s">
        <v>117</v>
      </c>
      <c r="B5" s="14" t="n">
        <f aca="false">COUNTA('Entrada e Cálculo'!A2:A40)</f>
        <v>39</v>
      </c>
    </row>
    <row r="6" customFormat="false" ht="15" hidden="false" customHeight="false" outlineLevel="0" collapsed="false">
      <c r="A6" s="4" t="s">
        <v>118</v>
      </c>
      <c r="B6" s="14" t="n">
        <f aca="false">COUNTIF('Entrada e Cálculo'!N2:N40,"BLOQUEADO")</f>
        <v>8</v>
      </c>
    </row>
    <row r="7" customFormat="false" ht="15" hidden="false" customHeight="false" outlineLevel="0" collapsed="false">
      <c r="A7" s="4" t="s">
        <v>119</v>
      </c>
      <c r="B7" s="14" t="n">
        <f aca="false">COUNT('Entrada e Cálculo'!O2:O40)</f>
        <v>31</v>
      </c>
    </row>
    <row r="8" customFormat="false" ht="15" hidden="false" customHeight="false" outlineLevel="0" collapsed="false">
      <c r="A8" s="4" t="s">
        <v>120</v>
      </c>
      <c r="B8" s="15" t="n">
        <f aca="false">COUNT('Entrada e Cálculo'!O2:O40)/COUNTA('Entrada e Cálculo'!A2:A40)</f>
        <v>0.794871794871795</v>
      </c>
    </row>
    <row r="9" customFormat="false" ht="15" hidden="false" customHeight="false" outlineLevel="0" collapsed="false">
      <c r="A9" s="3" t="s">
        <v>121</v>
      </c>
      <c r="B9" s="3"/>
    </row>
    <row r="10" customFormat="false" ht="15" hidden="false" customHeight="false" outlineLevel="0" collapsed="false">
      <c r="A10" s="4" t="s">
        <v>122</v>
      </c>
      <c r="B10" s="16" t="n">
        <f aca="false">MEDIAN('Entrada e Cálculo'!O2:O40)</f>
        <v>1.00304568</v>
      </c>
    </row>
    <row r="11" customFormat="false" ht="15" hidden="false" customHeight="false" outlineLevel="0" collapsed="false">
      <c r="A11" s="4" t="s">
        <v>123</v>
      </c>
      <c r="B11" s="16" t="n">
        <f aca="false">AVERAGE('Entrada e Cálculo'!O2:O40)</f>
        <v>811.906519916304</v>
      </c>
    </row>
    <row r="12" customFormat="false" ht="15" hidden="false" customHeight="false" outlineLevel="0" collapsed="false">
      <c r="A12" s="4" t="s">
        <v>124</v>
      </c>
      <c r="B12" s="16" t="n">
        <f aca="false">MIN('Entrada e Cálculo'!O2:O40)</f>
        <v>0.074631375</v>
      </c>
    </row>
    <row r="13" customFormat="false" ht="15" hidden="false" customHeight="false" outlineLevel="0" collapsed="false">
      <c r="A13" s="4" t="s">
        <v>125</v>
      </c>
      <c r="B13" s="16" t="n">
        <f aca="false">MAX('Entrada e Cálculo'!O2:O40)</f>
        <v>25076.142</v>
      </c>
    </row>
    <row r="14" customFormat="false" ht="15" hidden="false" customHeight="false" outlineLevel="0" collapsed="false">
      <c r="A14" s="3" t="s">
        <v>126</v>
      </c>
      <c r="B14" s="3"/>
    </row>
    <row r="15" customFormat="false" ht="15" hidden="false" customHeight="false" outlineLevel="0" collapsed="false">
      <c r="A15" s="4" t="s">
        <v>127</v>
      </c>
      <c r="B15" s="14" t="n">
        <f aca="false">COUNTIFS('Entrada e Cálculo'!O2:O40,"&lt;0.5")</f>
        <v>14</v>
      </c>
    </row>
    <row r="16" customFormat="false" ht="15" hidden="false" customHeight="false" outlineLevel="0" collapsed="false">
      <c r="A16" s="4" t="s">
        <v>128</v>
      </c>
      <c r="B16" s="14" t="n">
        <f aca="false">COUNTIFS('Entrada e Cálculo'!O2:O40,"&gt;=0.5",'Entrada e Cálculo'!O2:O40,"&lt;0.8")</f>
        <v>0</v>
      </c>
    </row>
    <row r="17" customFormat="false" ht="15" hidden="false" customHeight="false" outlineLevel="0" collapsed="false">
      <c r="A17" s="4" t="s">
        <v>129</v>
      </c>
      <c r="B17" s="14" t="n">
        <f aca="false">COUNTIFS('Entrada e Cálculo'!O2:O40,"&gt;=0.8",'Entrada e Cálculo'!O2:O40,"&lt;=1.25")</f>
        <v>6</v>
      </c>
    </row>
    <row r="18" customFormat="false" ht="15" hidden="false" customHeight="false" outlineLevel="0" collapsed="false">
      <c r="A18" s="4" t="s">
        <v>130</v>
      </c>
      <c r="B18" s="14" t="n">
        <f aca="false">COUNTIFS('Entrada e Cálculo'!O2:O40,"&gt;1.25",'Entrada e Cálculo'!O2:O40,"&lt;=2")</f>
        <v>1</v>
      </c>
    </row>
    <row r="19" customFormat="false" ht="15" hidden="false" customHeight="false" outlineLevel="0" collapsed="false">
      <c r="A19" s="4" t="s">
        <v>131</v>
      </c>
      <c r="B19" s="14" t="n">
        <f aca="false">COUNTIFS('Entrada e Cálculo'!O2:O40,"&gt;2")</f>
        <v>10</v>
      </c>
    </row>
    <row r="20" customFormat="false" ht="15" hidden="false" customHeight="false" outlineLevel="0" collapsed="false">
      <c r="A20" s="3" t="s">
        <v>132</v>
      </c>
      <c r="B20" s="3"/>
    </row>
    <row r="21" customFormat="false" ht="15" hidden="false" customHeight="false" outlineLevel="0" collapsed="false">
      <c r="A21" s="4" t="s">
        <v>133</v>
      </c>
      <c r="B21" s="17" t="n">
        <f aca="false">SUM('Entrada e Cálculo'!M2:M40)</f>
        <v>36717887.0666667</v>
      </c>
    </row>
    <row r="22" customFormat="false" ht="15" hidden="false" customHeight="false" outlineLevel="0" collapsed="false">
      <c r="A22" s="4" t="s">
        <v>134</v>
      </c>
      <c r="B22" s="17" t="n">
        <f aca="false">SUMIF('Entrada e Cálculo'!N2:N40,"&lt;&gt;BLOQUEADO")</f>
        <v>4252597704.09322</v>
      </c>
    </row>
    <row r="23" customFormat="false" ht="15" hidden="false" customHeight="false" outlineLevel="0" collapsed="false">
      <c r="A23" s="4" t="s">
        <v>135</v>
      </c>
      <c r="B23" s="17" t="n">
        <f aca="false">SUM('Entrada e Cálculo'!Q2:Q40)</f>
        <v>38559415.9487041</v>
      </c>
    </row>
    <row r="24" customFormat="false" ht="15" hidden="false" customHeight="false" outlineLevel="0" collapsed="false">
      <c r="A24" s="4" t="s">
        <v>136</v>
      </c>
      <c r="B24" s="15" t="n">
        <f aca="false">SUM('Entrada e Cálculo'!Q2:Q40)/SUM('Entrada e Cálculo'!M2:M40)-1</f>
        <v>0.0501534546008569</v>
      </c>
    </row>
  </sheetData>
  <mergeCells count="4">
    <mergeCell ref="A4:B4"/>
    <mergeCell ref="A9:B9"/>
    <mergeCell ref="A14:B14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2026-06-01T19:57:47Z</dcterms:created>
  <dc:creator>openpyxl</dc:creator>
  <dc:description/>
  <dc:language>en-US</dc:language>
  <cp:lastModifiedBy/>
  <dcterms:modified xsi:type="dcterms:W3CDTF">2026-06-01T19:57:47Z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